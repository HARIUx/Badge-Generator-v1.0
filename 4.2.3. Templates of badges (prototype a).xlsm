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skah\Desktop\badge generator 2020\"/>
    </mc:Choice>
  </mc:AlternateContent>
  <bookViews>
    <workbookView xWindow="0" yWindow="0" windowWidth="28800" windowHeight="11400"/>
  </bookViews>
  <sheets>
    <sheet name="badge_library" sheetId="1" r:id="rId1"/>
    <sheet name="badge_data" sheetId="3" r:id="rId2"/>
    <sheet name="employee_search" sheetId="5" r:id="rId3"/>
    <sheet name="employee_search_sort" sheetId="4" r:id="rId4"/>
    <sheet name="user_form_pics" sheetId="6" r:id="rId5"/>
  </sheets>
  <definedNames>
    <definedName name="_xlnm._FilterDatabase" localSheetId="0" hidden="1">badge_library!#REF!</definedName>
    <definedName name="ACCESS_A_badge_back">badge_library!$AW$2:$BQ$21</definedName>
    <definedName name="ACCESS_A_badge_front">badge_library!$C$2:$W$21</definedName>
    <definedName name="ACCESS_A_plus_badge_front">badge_library!$Z$2:$AT$21</definedName>
    <definedName name="badge_library">badge_library!$A:$BS</definedName>
    <definedName name="employee_id">employee_search_sort!$F$20</definedName>
    <definedName name="employee_search_1" localSheetId="2">employee_search!$A$1:$A$232</definedName>
    <definedName name="employee_search_10" localSheetId="2">employee_search!$A$1:$A$4</definedName>
    <definedName name="employee_search_11" localSheetId="2">employee_search!$A$1:$A$4</definedName>
    <definedName name="employee_search_12" localSheetId="2">employee_search!$A$1:$A$22</definedName>
    <definedName name="employee_search_13" localSheetId="2">employee_search!$A$1:$A$4</definedName>
    <definedName name="employee_search_14" localSheetId="2">employee_search!$A$1:$A$22</definedName>
    <definedName name="employee_search_15" localSheetId="2">employee_search!$A$1:$A$22</definedName>
    <definedName name="employee_search_16" localSheetId="2">employee_search!$A$1:$A$36</definedName>
    <definedName name="employee_search_17" localSheetId="2">employee_search!$A$1:$A$36</definedName>
    <definedName name="employee_search_18" localSheetId="2">employee_search!$A$1:$A$22</definedName>
    <definedName name="employee_search_19" localSheetId="2">employee_search!$A$1:$A$22</definedName>
    <definedName name="employee_search_2" localSheetId="2">employee_search!$A$1:$A$288</definedName>
    <definedName name="employee_search_20" localSheetId="2">employee_search!$A$1:$A$22</definedName>
    <definedName name="employee_search_21" localSheetId="2">employee_search!$A$1:$A$22</definedName>
    <definedName name="employee_search_22" localSheetId="2">employee_search!$A$1:$A$22</definedName>
    <definedName name="employee_search_23" localSheetId="2">employee_search!$A$1:$A$22</definedName>
    <definedName name="employee_search_24" localSheetId="2">employee_search!$A$1:$A$22</definedName>
    <definedName name="employee_search_25" localSheetId="2">employee_search!$A$1:$A$22</definedName>
    <definedName name="employee_search_26" localSheetId="2">employee_search!$A$1:$A$22</definedName>
    <definedName name="employee_search_27" localSheetId="2">employee_search!$A$1:$A$162</definedName>
    <definedName name="employee_search_28" localSheetId="2">employee_search!$A$1:$A$22</definedName>
    <definedName name="employee_search_3" localSheetId="2">employee_search!$A$1:$A$22</definedName>
    <definedName name="employee_search_30" localSheetId="2">employee_search!$A$1:$A$22</definedName>
    <definedName name="employee_search_31" localSheetId="2">employee_search!$A$1:$A$36</definedName>
    <definedName name="employee_search_4" localSheetId="2">employee_search!$A$1:$A$22</definedName>
    <definedName name="employee_search_5" localSheetId="2">employee_search!$A$1:$A$218</definedName>
    <definedName name="employee_search_6" localSheetId="2">employee_search!$A$1:$A$22</definedName>
    <definedName name="employee_search_7" localSheetId="2">employee_search!$A$1:$A$22</definedName>
    <definedName name="employee_search_8" localSheetId="2">employee_search!$A$1:$A$4</definedName>
    <definedName name="employee_search_9" localSheetId="2">employee_search!$A$1:$A$4</definedName>
    <definedName name="search_count">employee_search_sort!$G$1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2" i="4"/>
  <c r="E2" i="4"/>
  <c r="D2" i="4"/>
  <c r="C20" i="4"/>
  <c r="B20" i="4"/>
  <c r="E20" i="4"/>
  <c r="D20" i="4"/>
  <c r="G1" i="4" l="1"/>
  <c r="B3" i="4"/>
  <c r="C3" i="4"/>
  <c r="D3" i="4"/>
  <c r="H3" i="4" s="1"/>
  <c r="E3" i="4"/>
  <c r="B4" i="4"/>
  <c r="C4" i="4"/>
  <c r="D4" i="4"/>
  <c r="H4" i="4" s="1"/>
  <c r="E4" i="4"/>
  <c r="B5" i="4"/>
  <c r="C5" i="4"/>
  <c r="D5" i="4"/>
  <c r="H5" i="4" s="1"/>
  <c r="E5" i="4"/>
  <c r="B6" i="4"/>
  <c r="C6" i="4"/>
  <c r="D6" i="4"/>
  <c r="H6" i="4" s="1"/>
  <c r="E6" i="4"/>
  <c r="B7" i="4"/>
  <c r="C7" i="4"/>
  <c r="D7" i="4"/>
  <c r="H7" i="4" s="1"/>
  <c r="E7" i="4"/>
  <c r="B8" i="4"/>
  <c r="C8" i="4"/>
  <c r="D8" i="4"/>
  <c r="H8" i="4" s="1"/>
  <c r="E8" i="4"/>
  <c r="B9" i="4"/>
  <c r="C9" i="4"/>
  <c r="D9" i="4"/>
  <c r="H9" i="4" s="1"/>
  <c r="E9" i="4"/>
  <c r="B10" i="4"/>
  <c r="C10" i="4"/>
  <c r="D10" i="4"/>
  <c r="H10" i="4" s="1"/>
  <c r="E10" i="4"/>
  <c r="B11" i="4"/>
  <c r="C11" i="4"/>
  <c r="D11" i="4"/>
  <c r="H11" i="4" s="1"/>
  <c r="E11" i="4"/>
  <c r="B12" i="4"/>
  <c r="C12" i="4"/>
  <c r="D12" i="4"/>
  <c r="H12" i="4" s="1"/>
  <c r="E12" i="4"/>
  <c r="B13" i="4"/>
  <c r="C13" i="4"/>
  <c r="D13" i="4"/>
  <c r="H13" i="4" s="1"/>
  <c r="A13" i="4" s="1"/>
  <c r="E13" i="4"/>
  <c r="B14" i="4"/>
  <c r="C14" i="4"/>
  <c r="D14" i="4"/>
  <c r="H14" i="4" s="1"/>
  <c r="E14" i="4"/>
  <c r="B15" i="4"/>
  <c r="C15" i="4"/>
  <c r="D15" i="4"/>
  <c r="H15" i="4" s="1"/>
  <c r="A15" i="4" s="1"/>
  <c r="E15" i="4"/>
  <c r="B16" i="4"/>
  <c r="C16" i="4"/>
  <c r="D16" i="4"/>
  <c r="H16" i="4" s="1"/>
  <c r="E16" i="4"/>
  <c r="B17" i="4"/>
  <c r="C17" i="4"/>
  <c r="D17" i="4"/>
  <c r="H17" i="4" s="1"/>
  <c r="A17" i="4" s="1"/>
  <c r="E17" i="4"/>
  <c r="B18" i="4"/>
  <c r="C18" i="4"/>
  <c r="D18" i="4"/>
  <c r="H18" i="4" s="1"/>
  <c r="A18" i="4" s="1"/>
  <c r="E18" i="4"/>
  <c r="H2" i="4"/>
  <c r="C2" i="4"/>
  <c r="B2" i="4"/>
  <c r="A2" i="4" l="1"/>
  <c r="F20" i="4" s="1"/>
  <c r="A9" i="4"/>
  <c r="A5" i="4"/>
  <c r="A11" i="4"/>
  <c r="A7" i="4"/>
  <c r="A3" i="4"/>
  <c r="A16" i="4"/>
  <c r="A14" i="4"/>
  <c r="A12" i="4"/>
  <c r="A10" i="4"/>
  <c r="A8" i="4"/>
  <c r="A6" i="4"/>
  <c r="A4" i="4"/>
  <c r="CD212" i="1" l="1"/>
  <c r="CC212" i="1"/>
  <c r="BZ212" i="1"/>
  <c r="BY212" i="1"/>
  <c r="BV212" i="1"/>
  <c r="BU212" i="1"/>
  <c r="CD191" i="1"/>
  <c r="CC191" i="1"/>
  <c r="BZ191" i="1"/>
  <c r="BY191" i="1"/>
  <c r="BV191" i="1"/>
  <c r="BU191" i="1"/>
  <c r="CD170" i="1"/>
  <c r="CC170" i="1"/>
  <c r="BZ170" i="1"/>
  <c r="BY170" i="1"/>
  <c r="BV170" i="1"/>
  <c r="BU170" i="1"/>
  <c r="CD149" i="1"/>
  <c r="CC149" i="1"/>
  <c r="BZ149" i="1"/>
  <c r="BY149" i="1"/>
  <c r="BV149" i="1"/>
  <c r="BU149" i="1"/>
  <c r="CD128" i="1"/>
  <c r="CC128" i="1"/>
  <c r="BZ128" i="1"/>
  <c r="BY128" i="1"/>
  <c r="BV128" i="1"/>
  <c r="BU128" i="1"/>
  <c r="CD107" i="1"/>
  <c r="CC107" i="1"/>
  <c r="BZ107" i="1"/>
  <c r="BY107" i="1"/>
  <c r="BV107" i="1"/>
  <c r="BU107" i="1"/>
  <c r="CD86" i="1"/>
  <c r="CC86" i="1"/>
  <c r="BZ86" i="1"/>
  <c r="BY86" i="1"/>
  <c r="BV86" i="1"/>
  <c r="BU86" i="1"/>
  <c r="CD65" i="1"/>
  <c r="CC65" i="1"/>
  <c r="BZ65" i="1"/>
  <c r="BY65" i="1"/>
  <c r="BV65" i="1"/>
  <c r="BU65" i="1"/>
  <c r="CD44" i="1"/>
  <c r="CC44" i="1"/>
  <c r="BZ44" i="1"/>
  <c r="BY44" i="1"/>
  <c r="BV44" i="1"/>
  <c r="BU44" i="1"/>
  <c r="CD23" i="1"/>
  <c r="CC23" i="1"/>
  <c r="BZ23" i="1"/>
  <c r="BY23" i="1"/>
  <c r="BV23" i="1"/>
  <c r="BU23" i="1"/>
  <c r="BU2" i="1"/>
  <c r="BV2" i="1"/>
  <c r="CD2" i="1"/>
  <c r="CC2" i="1"/>
  <c r="BZ2" i="1"/>
  <c r="BY2" i="1"/>
  <c r="BW191" i="1"/>
  <c r="CA44" i="1"/>
  <c r="BW128" i="1"/>
  <c r="CA149" i="1"/>
  <c r="BW212" i="1"/>
  <c r="CE86" i="1"/>
  <c r="CA191" i="1"/>
  <c r="CE44" i="1"/>
  <c r="CE128" i="1"/>
  <c r="BW2" i="1"/>
  <c r="BW65" i="1"/>
  <c r="CE65" i="1"/>
  <c r="BW149" i="1"/>
  <c r="CA107" i="1"/>
  <c r="CE2" i="1"/>
  <c r="BW44" i="1"/>
  <c r="CE212" i="1"/>
  <c r="BW23" i="1"/>
  <c r="CE191" i="1"/>
  <c r="BW86" i="1"/>
  <c r="CE149" i="1"/>
  <c r="BW107" i="1"/>
  <c r="CE107" i="1"/>
  <c r="CE23" i="1"/>
  <c r="CA2" i="1"/>
  <c r="CA128" i="1"/>
  <c r="CA86" i="1"/>
  <c r="CG212" i="1" l="1"/>
  <c r="CG2" i="1"/>
  <c r="BX212" i="1"/>
  <c r="BX191" i="1"/>
  <c r="CB212" i="1"/>
  <c r="CF212" i="1"/>
  <c r="CF191" i="1"/>
  <c r="BX170" i="1"/>
  <c r="CB191" i="1"/>
  <c r="CF170" i="1"/>
  <c r="CF128" i="1"/>
  <c r="BX149" i="1"/>
  <c r="CB170" i="1"/>
  <c r="CB128" i="1"/>
  <c r="CF149" i="1"/>
  <c r="CB107" i="1"/>
  <c r="CF107" i="1"/>
  <c r="BX128" i="1"/>
  <c r="CB149" i="1"/>
  <c r="BX107" i="1"/>
  <c r="CF23" i="1"/>
  <c r="BX65" i="1"/>
  <c r="CB86" i="1"/>
  <c r="CF86" i="1"/>
  <c r="BX23" i="1"/>
  <c r="CB44" i="1"/>
  <c r="CF65" i="1"/>
  <c r="BX86" i="1"/>
  <c r="CB65" i="1"/>
  <c r="BX44" i="1"/>
  <c r="CF44" i="1"/>
  <c r="CB23" i="1"/>
  <c r="BX2" i="1"/>
  <c r="CF2" i="1"/>
  <c r="CB2" i="1"/>
  <c r="CE170" i="1"/>
  <c r="CA170" i="1"/>
  <c r="CA23" i="1"/>
  <c r="CA65" i="1"/>
  <c r="CA212" i="1"/>
  <c r="BW170" i="1"/>
  <c r="CN2" i="1" l="1"/>
  <c r="CO2" i="1"/>
  <c r="CM2" i="1"/>
  <c r="CL2" i="1"/>
  <c r="CJ2" i="1"/>
  <c r="CK2" i="1"/>
  <c r="CI2" i="1"/>
  <c r="CG23" i="1"/>
  <c r="CG44" i="1" s="1"/>
  <c r="CM4" i="1" l="1"/>
  <c r="CJ3" i="1"/>
  <c r="CK3" i="1"/>
  <c r="CK4" i="1"/>
  <c r="CN3" i="1"/>
  <c r="CL4" i="1"/>
  <c r="CO3" i="1"/>
  <c r="CN4" i="1"/>
  <c r="CL3" i="1"/>
  <c r="CM3" i="1"/>
  <c r="CJ4" i="1"/>
  <c r="CO4" i="1"/>
  <c r="CI4" i="1"/>
  <c r="CI3" i="1"/>
  <c r="CG65" i="1"/>
  <c r="CK5" i="1" l="1"/>
  <c r="CM5" i="1"/>
  <c r="CO5" i="1"/>
  <c r="CJ5" i="1"/>
  <c r="CN5" i="1"/>
  <c r="CL5" i="1"/>
  <c r="CI5" i="1"/>
  <c r="CG86" i="1"/>
  <c r="CL6" i="1" s="1"/>
  <c r="CK6" i="1" l="1"/>
  <c r="CJ6" i="1"/>
  <c r="CN6" i="1"/>
  <c r="CO6" i="1"/>
  <c r="CM6" i="1"/>
  <c r="CI6" i="1"/>
  <c r="CG107" i="1"/>
  <c r="CO7" i="1" l="1"/>
  <c r="CL7" i="1"/>
  <c r="CI7" i="1"/>
  <c r="CM7" i="1"/>
  <c r="CJ7" i="1"/>
  <c r="CK7" i="1"/>
  <c r="CN7" i="1"/>
  <c r="CG128" i="1"/>
  <c r="CJ8" i="1" s="1"/>
  <c r="CK8" i="1" l="1"/>
  <c r="CN8" i="1"/>
  <c r="CO8" i="1"/>
  <c r="CG149" i="1"/>
  <c r="CG170" i="1" l="1"/>
  <c r="CG191" i="1" s="1"/>
  <c r="CI11" i="1" s="1"/>
  <c r="CL9" i="1"/>
  <c r="CI9" i="1"/>
  <c r="CI8" i="1"/>
  <c r="CI10" i="1" l="1"/>
  <c r="CN10" i="1"/>
  <c r="CJ10" i="1"/>
  <c r="CN9" i="1"/>
  <c r="CM10" i="1"/>
  <c r="CO9" i="1"/>
  <c r="CO10" i="1"/>
  <c r="CL11" i="1"/>
  <c r="CL8" i="1"/>
  <c r="CK11" i="1"/>
  <c r="CM8" i="1"/>
  <c r="CJ11" i="1"/>
  <c r="CM9" i="1"/>
  <c r="CO11" i="1"/>
  <c r="CJ9" i="1"/>
  <c r="CL10" i="1"/>
  <c r="CM11" i="1"/>
  <c r="CK9" i="1"/>
  <c r="CN11" i="1"/>
  <c r="CK10" i="1"/>
</calcChain>
</file>

<file path=xl/sharedStrings.xml><?xml version="1.0" encoding="utf-8"?>
<sst xmlns="http://schemas.openxmlformats.org/spreadsheetml/2006/main" count="262" uniqueCount="68">
  <si>
    <t>X</t>
  </si>
  <si>
    <t>ACCESS A</t>
  </si>
  <si>
    <t>ACCESS A+</t>
  </si>
  <si>
    <t>+</t>
  </si>
  <si>
    <t>D</t>
  </si>
  <si>
    <t>C</t>
  </si>
  <si>
    <t>B</t>
  </si>
  <si>
    <t>A</t>
  </si>
  <si>
    <t>ENTITLED TO CLEAR JAMS</t>
  </si>
  <si>
    <t>H&amp;S, IT, SECURITY &amp; ENGINEERS</t>
  </si>
  <si>
    <t>MANAGERS &amp; LEADS</t>
  </si>
  <si>
    <t>SLAM OPERATORS</t>
  </si>
  <si>
    <t>OBSERVATION ONLY</t>
  </si>
  <si>
    <t>ACCESS B</t>
  </si>
  <si>
    <t>ACCESS B+</t>
  </si>
  <si>
    <t>ACCESS C+</t>
  </si>
  <si>
    <t>ACCESS C</t>
  </si>
  <si>
    <t>ACCESS D</t>
  </si>
  <si>
    <t>ACCESS D+</t>
  </si>
  <si>
    <t>PIT LICENSE</t>
  </si>
  <si>
    <t>AUTHORISED (UNTIL)</t>
  </si>
  <si>
    <t>PPT (A1)</t>
  </si>
  <si>
    <t>RPT (A2)</t>
  </si>
  <si>
    <t>STACKER (A4)</t>
  </si>
  <si>
    <t>CB (B1)</t>
  </si>
  <si>
    <t>REACH TRUCK (D2)</t>
  </si>
  <si>
    <t>POLICY</t>
  </si>
  <si>
    <t>LOOP PEAK PASS</t>
  </si>
  <si>
    <t>OUTDOOR MARSHALL</t>
  </si>
  <si>
    <t>YARD ACCESS</t>
  </si>
  <si>
    <t>ROBOTIC PALLETIZER</t>
  </si>
  <si>
    <t>first_name</t>
  </si>
  <si>
    <t>last_name</t>
  </si>
  <si>
    <t>fc_id</t>
  </si>
  <si>
    <t>--</t>
  </si>
  <si>
    <t>expiry_date</t>
  </si>
  <si>
    <t>issue_date</t>
  </si>
  <si>
    <t>employee_picture</t>
  </si>
  <si>
    <t>badge_A</t>
  </si>
  <si>
    <t>badge_B</t>
  </si>
  <si>
    <t>badge_C</t>
  </si>
  <si>
    <t>badge_name</t>
  </si>
  <si>
    <t>rank</t>
  </si>
  <si>
    <t>Employee Search</t>
  </si>
  <si>
    <t>Employees</t>
  </si>
  <si>
    <t>Badge photo not available</t>
  </si>
  <si>
    <t>StatusActive</t>
  </si>
  <si>
    <t>Crew</t>
  </si>
  <si>
    <t>Last Name</t>
  </si>
  <si>
    <t>First Name</t>
  </si>
  <si>
    <t>Location</t>
  </si>
  <si>
    <t>Login</t>
  </si>
  <si>
    <t>ALL</t>
  </si>
  <si>
    <t>Seskauskas,Haroldas</t>
  </si>
  <si>
    <t>Loginseskah</t>
  </si>
  <si>
    <t>Employee ID101593157</t>
  </si>
  <si>
    <t>Barcode ID11515500</t>
  </si>
  <si>
    <t>LocationLTN2 (517)</t>
  </si>
  <si>
    <t>ShiftDB3-0700</t>
  </si>
  <si>
    <t>Department1299020</t>
  </si>
  <si>
    <t>Area3</t>
  </si>
  <si>
    <t>SupervisorIcodim,Anamaria</t>
  </si>
  <si>
    <t>Selected</t>
  </si>
  <si>
    <t>Employee ID</t>
  </si>
  <si>
    <t>1 results found.</t>
  </si>
  <si>
    <t>Haroldas, Seskauskas (seskah) LTN2 (517)</t>
  </si>
  <si>
    <t>Employee Picture</t>
  </si>
  <si>
    <t>TRUE/FALSE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</si>
</sst>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D0D0D"/>
      <name val="Calibri"/>
      <family val="2"/>
      <scheme val="minor"/>
    </font>
    <font>
      <sz val="11"/>
      <color rgb="FF0D0D0D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D0D0D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C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18"/>
      <color rgb="FFFFFFFF"/>
      <name val="Calibri"/>
      <family val="2"/>
    </font>
    <font>
      <b/>
      <sz val="18"/>
      <color theme="0"/>
      <name val="Calibri"/>
      <family val="2"/>
    </font>
    <font>
      <b/>
      <sz val="18"/>
      <name val="Calibri"/>
      <family val="2"/>
    </font>
    <font>
      <sz val="40"/>
      <color theme="1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BA67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05046"/>
        <bgColor rgb="FF000000"/>
      </patternFill>
    </fill>
    <fill>
      <patternFill patternType="solid">
        <fgColor rgb="FFC05046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4" tint="-0.49998474074526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4" borderId="0" xfId="0" applyFill="1" applyBorder="1"/>
    <xf numFmtId="0" fontId="0" fillId="4" borderId="0" xfId="0" applyFont="1" applyFill="1" applyBorder="1"/>
    <xf numFmtId="0" fontId="2" fillId="4" borderId="0" xfId="0" quotePrefix="1" applyFont="1" applyFill="1" applyBorder="1" applyAlignment="1"/>
    <xf numFmtId="0" fontId="2" fillId="4" borderId="0" xfId="0" applyFont="1" applyFill="1" applyBorder="1" applyAlignment="1"/>
    <xf numFmtId="0" fontId="7" fillId="4" borderId="0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0" fillId="8" borderId="0" xfId="0" applyFill="1" applyBorder="1"/>
    <xf numFmtId="0" fontId="6" fillId="8" borderId="0" xfId="0" applyFont="1" applyFill="1" applyBorder="1" applyAlignment="1">
      <alignment vertical="top"/>
    </xf>
    <xf numFmtId="0" fontId="0" fillId="8" borderId="0" xfId="0" applyFont="1" applyFill="1" applyBorder="1"/>
    <xf numFmtId="0" fontId="2" fillId="8" borderId="0" xfId="0" quotePrefix="1" applyFont="1" applyFill="1" applyBorder="1" applyAlignment="1"/>
    <xf numFmtId="0" fontId="2" fillId="8" borderId="0" xfId="0" applyFont="1" applyFill="1" applyBorder="1" applyAlignment="1"/>
    <xf numFmtId="0" fontId="7" fillId="8" borderId="0" xfId="0" applyFont="1" applyFill="1" applyBorder="1" applyAlignment="1">
      <alignment vertical="center"/>
    </xf>
    <xf numFmtId="0" fontId="2" fillId="8" borderId="0" xfId="0" applyFont="1" applyFill="1" applyBorder="1" applyAlignment="1">
      <alignment vertical="center"/>
    </xf>
    <xf numFmtId="0" fontId="0" fillId="7" borderId="0" xfId="0" applyFont="1" applyFill="1" applyBorder="1"/>
    <xf numFmtId="0" fontId="2" fillId="7" borderId="0" xfId="0" quotePrefix="1" applyFont="1" applyFill="1" applyBorder="1" applyAlignment="1"/>
    <xf numFmtId="0" fontId="2" fillId="7" borderId="0" xfId="0" applyFont="1" applyFill="1" applyBorder="1" applyAlignment="1"/>
    <xf numFmtId="0" fontId="7" fillId="7" borderId="0" xfId="0" applyFont="1" applyFill="1" applyBorder="1" applyAlignment="1">
      <alignment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 applyBorder="1"/>
    <xf numFmtId="0" fontId="11" fillId="3" borderId="0" xfId="0" applyFont="1" applyFill="1" applyBorder="1"/>
    <xf numFmtId="0" fontId="0" fillId="5" borderId="0" xfId="0" applyFont="1" applyFill="1" applyBorder="1"/>
    <xf numFmtId="0" fontId="2" fillId="5" borderId="0" xfId="0" quotePrefix="1" applyFont="1" applyFill="1" applyBorder="1" applyAlignment="1"/>
    <xf numFmtId="0" fontId="2" fillId="5" borderId="0" xfId="0" applyFont="1" applyFill="1" applyBorder="1" applyAlignment="1"/>
    <xf numFmtId="0" fontId="7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13" fillId="3" borderId="0" xfId="0" applyFont="1" applyFill="1" applyBorder="1"/>
    <xf numFmtId="0" fontId="0" fillId="3" borderId="0" xfId="0" applyFont="1" applyFill="1" applyBorder="1"/>
    <xf numFmtId="0" fontId="11" fillId="3" borderId="0" xfId="0" applyFont="1" applyFill="1" applyBorder="1" applyAlignment="1"/>
    <xf numFmtId="0" fontId="7" fillId="3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0" fillId="13" borderId="0" xfId="0" applyFill="1" applyBorder="1"/>
    <xf numFmtId="0" fontId="2" fillId="13" borderId="0" xfId="0" applyFont="1" applyFill="1" applyBorder="1" applyAlignment="1">
      <alignment vertical="center" textRotation="180"/>
    </xf>
    <xf numFmtId="0" fontId="0" fillId="13" borderId="0" xfId="0" applyFont="1" applyFill="1" applyBorder="1"/>
    <xf numFmtId="0" fontId="11" fillId="13" borderId="0" xfId="0" applyFont="1" applyFill="1" applyBorder="1" applyAlignment="1"/>
    <xf numFmtId="0" fontId="7" fillId="13" borderId="0" xfId="0" applyFont="1" applyFill="1" applyBorder="1" applyAlignment="1">
      <alignment vertical="center"/>
    </xf>
    <xf numFmtId="0" fontId="2" fillId="13" borderId="0" xfId="0" quotePrefix="1" applyFont="1" applyFill="1" applyBorder="1" applyAlignment="1"/>
    <xf numFmtId="0" fontId="1" fillId="13" borderId="0" xfId="0" applyFont="1" applyFill="1" applyBorder="1" applyAlignment="1">
      <alignment vertical="center"/>
    </xf>
    <xf numFmtId="0" fontId="14" fillId="13" borderId="0" xfId="0" applyFont="1" applyFill="1" applyBorder="1" applyAlignment="1"/>
    <xf numFmtId="0" fontId="15" fillId="16" borderId="0" xfId="0" applyFont="1" applyFill="1" applyBorder="1"/>
    <xf numFmtId="0" fontId="16" fillId="16" borderId="0" xfId="0" applyFont="1" applyFill="1" applyBorder="1"/>
    <xf numFmtId="0" fontId="15" fillId="17" borderId="0" xfId="0" applyFont="1" applyFill="1" applyBorder="1"/>
    <xf numFmtId="0" fontId="16" fillId="17" borderId="0" xfId="0" applyFont="1" applyFill="1" applyBorder="1"/>
    <xf numFmtId="0" fontId="17" fillId="17" borderId="0" xfId="0" applyFont="1" applyFill="1" applyBorder="1"/>
    <xf numFmtId="0" fontId="19" fillId="19" borderId="0" xfId="0" applyFont="1" applyFill="1" applyBorder="1"/>
    <xf numFmtId="0" fontId="3" fillId="5" borderId="0" xfId="0" applyFont="1" applyFill="1" applyBorder="1"/>
    <xf numFmtId="0" fontId="7" fillId="3" borderId="0" xfId="0" quotePrefix="1" applyFont="1" applyFill="1" applyBorder="1" applyAlignment="1">
      <alignment vertical="center"/>
    </xf>
    <xf numFmtId="0" fontId="2" fillId="3" borderId="0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0" fillId="3" borderId="0" xfId="0" applyFont="1" applyFill="1" applyBorder="1" applyAlignment="1">
      <alignment vertical="center" textRotation="90"/>
    </xf>
    <xf numFmtId="0" fontId="0" fillId="3" borderId="0" xfId="0" applyFont="1" applyFill="1" applyBorder="1" applyAlignment="1">
      <alignment vertical="center"/>
    </xf>
    <xf numFmtId="0" fontId="0" fillId="20" borderId="0" xfId="0" applyFill="1"/>
    <xf numFmtId="0" fontId="0" fillId="20" borderId="0" xfId="0" applyFill="1" applyBorder="1"/>
    <xf numFmtId="0" fontId="7" fillId="20" borderId="0" xfId="0" applyFont="1" applyFill="1" applyBorder="1" applyAlignment="1">
      <alignment vertical="center"/>
    </xf>
    <xf numFmtId="0" fontId="1" fillId="20" borderId="0" xfId="0" applyFont="1" applyFill="1" applyAlignment="1"/>
    <xf numFmtId="0" fontId="2" fillId="0" borderId="0" xfId="0" applyFont="1"/>
    <xf numFmtId="0" fontId="0" fillId="0" borderId="0" xfId="0" applyAlignment="1"/>
    <xf numFmtId="0" fontId="2" fillId="0" borderId="2" xfId="0" applyFont="1" applyBorder="1"/>
    <xf numFmtId="0" fontId="0" fillId="0" borderId="2" xfId="0" applyBorder="1" applyAlignment="1"/>
    <xf numFmtId="0" fontId="0" fillId="0" borderId="2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4" borderId="0" xfId="0" applyFont="1" applyFill="1" applyBorder="1" applyAlignment="1">
      <alignment horizontal="center" vertical="center" textRotation="180"/>
    </xf>
    <xf numFmtId="0" fontId="8" fillId="6" borderId="0" xfId="0" applyFont="1" applyFill="1" applyBorder="1" applyAlignment="1">
      <alignment horizontal="center" vertical="center" textRotation="180"/>
    </xf>
    <xf numFmtId="0" fontId="8" fillId="5" borderId="0" xfId="0" applyFont="1" applyFill="1" applyBorder="1" applyAlignment="1">
      <alignment horizontal="center" vertical="center" textRotation="180"/>
    </xf>
    <xf numFmtId="0" fontId="9" fillId="7" borderId="0" xfId="0" applyFont="1" applyFill="1" applyBorder="1" applyAlignment="1">
      <alignment horizontal="center" vertical="center" textRotation="180"/>
    </xf>
    <xf numFmtId="0" fontId="9" fillId="8" borderId="0" xfId="0" applyFont="1" applyFill="1" applyBorder="1" applyAlignment="1">
      <alignment horizontal="center" vertical="center" textRotation="180"/>
    </xf>
    <xf numFmtId="0" fontId="28" fillId="3" borderId="2" xfId="0" applyFont="1" applyFill="1" applyBorder="1" applyAlignment="1">
      <alignment horizontal="center" vertical="center"/>
    </xf>
    <xf numFmtId="0" fontId="11" fillId="15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vertical="top"/>
    </xf>
    <xf numFmtId="0" fontId="21" fillId="3" borderId="0" xfId="0" applyFont="1" applyFill="1" applyBorder="1" applyAlignment="1">
      <alignment horizontal="center" vertical="center"/>
    </xf>
    <xf numFmtId="0" fontId="8" fillId="18" borderId="0" xfId="0" applyFont="1" applyFill="1" applyBorder="1" applyAlignment="1">
      <alignment horizontal="center"/>
    </xf>
    <xf numFmtId="0" fontId="25" fillId="17" borderId="0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top" textRotation="180"/>
    </xf>
    <xf numFmtId="0" fontId="1" fillId="5" borderId="0" xfId="0" applyFont="1" applyFill="1" applyBorder="1" applyAlignment="1">
      <alignment horizontal="center" vertical="top" textRotation="180"/>
    </xf>
    <xf numFmtId="0" fontId="2" fillId="7" borderId="0" xfId="0" applyFont="1" applyFill="1" applyBorder="1" applyAlignment="1">
      <alignment horizontal="center" vertical="top" textRotation="180"/>
    </xf>
    <xf numFmtId="0" fontId="2" fillId="8" borderId="0" xfId="0" applyFont="1" applyFill="1" applyBorder="1" applyAlignment="1">
      <alignment horizontal="center" vertical="top" textRotation="180"/>
    </xf>
    <xf numFmtId="0" fontId="2" fillId="4" borderId="0" xfId="0" applyFont="1" applyFill="1" applyBorder="1" applyAlignment="1">
      <alignment horizontal="center" vertical="top" textRotation="180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8" fillId="17" borderId="0" xfId="0" quotePrefix="1" applyFont="1" applyFill="1" applyBorder="1" applyAlignment="1">
      <alignment horizontal="center"/>
    </xf>
    <xf numFmtId="0" fontId="18" fillId="17" borderId="0" xfId="0" applyFont="1" applyFill="1" applyBorder="1" applyAlignment="1">
      <alignment horizontal="center"/>
    </xf>
    <xf numFmtId="0" fontId="0" fillId="8" borderId="0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" fillId="5" borderId="0" xfId="0" quotePrefix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 vertical="center"/>
    </xf>
    <xf numFmtId="0" fontId="2" fillId="7" borderId="0" xfId="0" quotePrefix="1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4" fillId="13" borderId="0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8" fillId="13" borderId="0" xfId="0" applyFont="1" applyFill="1" applyBorder="1" applyAlignment="1">
      <alignment horizontal="center"/>
    </xf>
    <xf numFmtId="0" fontId="23" fillId="13" borderId="0" xfId="0" applyFont="1" applyFill="1" applyBorder="1" applyAlignment="1">
      <alignment horizontal="center" vertical="top"/>
    </xf>
    <xf numFmtId="0" fontId="3" fillId="13" borderId="0" xfId="0" applyFont="1" applyFill="1" applyBorder="1" applyAlignment="1">
      <alignment horizontal="center"/>
    </xf>
    <xf numFmtId="0" fontId="22" fillId="14" borderId="0" xfId="0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top"/>
    </xf>
    <xf numFmtId="0" fontId="7" fillId="3" borderId="1" xfId="0" quotePrefix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" fillId="13" borderId="0" xfId="0" quotePrefix="1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5" fillId="14" borderId="0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horizontal="center" vertical="center"/>
    </xf>
    <xf numFmtId="0" fontId="1" fillId="13" borderId="6" xfId="0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21" fillId="18" borderId="0" xfId="0" applyFont="1" applyFill="1" applyBorder="1" applyAlignment="1">
      <alignment horizontal="center" vertical="center"/>
    </xf>
    <xf numFmtId="0" fontId="21" fillId="15" borderId="0" xfId="0" applyFont="1" applyFill="1" applyBorder="1" applyAlignment="1">
      <alignment horizontal="center" vertical="center"/>
    </xf>
    <xf numFmtId="0" fontId="12" fillId="3" borderId="0" xfId="0" quotePrefix="1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23" fillId="18" borderId="0" xfId="0" applyFont="1" applyFill="1" applyBorder="1" applyAlignment="1">
      <alignment horizontal="center" vertical="top"/>
    </xf>
    <xf numFmtId="0" fontId="3" fillId="18" borderId="0" xfId="0" applyFont="1" applyFill="1" applyBorder="1" applyAlignment="1">
      <alignment horizontal="center"/>
    </xf>
    <xf numFmtId="0" fontId="27" fillId="19" borderId="0" xfId="0" applyFont="1" applyFill="1" applyBorder="1" applyAlignment="1">
      <alignment horizontal="center" vertical="center"/>
    </xf>
    <xf numFmtId="0" fontId="20" fillId="19" borderId="0" xfId="0" quotePrefix="1" applyFont="1" applyFill="1" applyBorder="1" applyAlignment="1">
      <alignment horizontal="center"/>
    </xf>
    <xf numFmtId="0" fontId="20" fillId="19" borderId="0" xfId="0" applyFont="1" applyFill="1" applyBorder="1" applyAlignment="1">
      <alignment horizontal="center"/>
    </xf>
    <xf numFmtId="0" fontId="7" fillId="15" borderId="3" xfId="0" applyFont="1" applyFill="1" applyBorder="1" applyAlignment="1">
      <alignment horizontal="center" vertical="center"/>
    </xf>
    <xf numFmtId="0" fontId="7" fillId="15" borderId="4" xfId="0" applyFont="1" applyFill="1" applyBorder="1" applyAlignment="1">
      <alignment horizontal="center" vertical="center"/>
    </xf>
    <xf numFmtId="0" fontId="7" fillId="15" borderId="5" xfId="0" applyFon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center" vertical="center"/>
    </xf>
    <xf numFmtId="0" fontId="7" fillId="15" borderId="0" xfId="0" applyFont="1" applyFill="1" applyBorder="1" applyAlignment="1">
      <alignment horizontal="center" vertical="center"/>
    </xf>
    <xf numFmtId="0" fontId="7" fillId="15" borderId="7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15" borderId="9" xfId="0" applyFont="1" applyFill="1" applyBorder="1" applyAlignment="1">
      <alignment horizontal="center" vertical="center"/>
    </xf>
    <xf numFmtId="0" fontId="7" fillId="15" borderId="10" xfId="0" applyFont="1" applyFill="1" applyBorder="1" applyAlignment="1">
      <alignment horizontal="center" vertical="center"/>
    </xf>
    <xf numFmtId="0" fontId="9" fillId="15" borderId="0" xfId="0" applyFont="1" applyFill="1" applyBorder="1" applyAlignment="1">
      <alignment horizontal="center"/>
    </xf>
    <xf numFmtId="0" fontId="24" fillId="15" borderId="0" xfId="0" applyFont="1" applyFill="1" applyBorder="1" applyAlignment="1">
      <alignment horizontal="center" vertical="top"/>
    </xf>
    <xf numFmtId="0" fontId="1" fillId="18" borderId="3" xfId="0" applyFont="1" applyFill="1" applyBorder="1" applyAlignment="1">
      <alignment horizontal="center" vertical="center"/>
    </xf>
    <xf numFmtId="0" fontId="1" fillId="18" borderId="4" xfId="0" applyFont="1" applyFill="1" applyBorder="1" applyAlignment="1">
      <alignment horizontal="center" vertical="center"/>
    </xf>
    <xf numFmtId="0" fontId="1" fillId="18" borderId="5" xfId="0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0" fontId="1" fillId="18" borderId="0" xfId="0" applyFont="1" applyFill="1" applyBorder="1" applyAlignment="1">
      <alignment horizontal="center" vertical="center"/>
    </xf>
    <xf numFmtId="0" fontId="1" fillId="18" borderId="7" xfId="0" applyFont="1" applyFill="1" applyBorder="1" applyAlignment="1">
      <alignment horizontal="center" vertical="center"/>
    </xf>
    <xf numFmtId="0" fontId="1" fillId="18" borderId="8" xfId="0" applyFont="1" applyFill="1" applyBorder="1" applyAlignment="1">
      <alignment horizontal="center" vertical="center"/>
    </xf>
    <xf numFmtId="0" fontId="1" fillId="18" borderId="9" xfId="0" applyFont="1" applyFill="1" applyBorder="1" applyAlignment="1">
      <alignment horizontal="center" vertical="center"/>
    </xf>
    <xf numFmtId="0" fontId="1" fillId="18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top"/>
    </xf>
    <xf numFmtId="0" fontId="10" fillId="7" borderId="0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top"/>
    </xf>
    <xf numFmtId="0" fontId="4" fillId="4" borderId="0" xfId="0" applyFont="1" applyFill="1" applyBorder="1" applyAlignment="1">
      <alignment horizontal="center" vertical="top"/>
    </xf>
    <xf numFmtId="0" fontId="0" fillId="7" borderId="0" xfId="0" applyFont="1" applyFill="1" applyBorder="1" applyAlignment="1">
      <alignment horizontal="center"/>
    </xf>
    <xf numFmtId="0" fontId="2" fillId="8" borderId="0" xfId="0" quotePrefix="1" applyFont="1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9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 vertical="top"/>
    </xf>
    <xf numFmtId="0" fontId="2" fillId="4" borderId="0" xfId="0" quotePrefix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FBFBF"/>
      <color rgb="FFC05046"/>
      <color rgb="FFFF4B4B"/>
      <color rgb="FFFBA676"/>
      <color rgb="FF0D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s://internal-cdn.amazon.com/badgephotos.amazon.com/?employeeid=123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https://internal-cdn.amazon.com/badgephotos.amazon.com/?employeeid=101593157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0</xdr:colOff>
      <xdr:row>92</xdr:row>
      <xdr:rowOff>190500</xdr:rowOff>
    </xdr:from>
    <xdr:to>
      <xdr:col>65</xdr:col>
      <xdr:colOff>0</xdr:colOff>
      <xdr:row>101</xdr:row>
      <xdr:rowOff>9525</xdr:rowOff>
    </xdr:to>
    <xdr:pic>
      <xdr:nvPicPr>
        <xdr:cNvPr id="21" name="Picture 20"/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7267" l="0" r="100000">
                      <a14:foregroundMark x1="42248" y1="54019" x2="64341" y2="24920"/>
                      <a14:foregroundMark x1="53295" y1="39711" x2="53295" y2="39711"/>
                      <a14:foregroundMark x1="53295" y1="39711" x2="62597" y2="47910"/>
                      <a14:foregroundMark x1="43023" y1="26527" x2="42054" y2="46141"/>
                      <a14:foregroundMark x1="33333" y1="57556" x2="74031" y2="69775"/>
                      <a14:foregroundMark x1="52713" y1="16077" x2="78295" y2="30386"/>
                      <a14:foregroundMark x1="25581" y1="58039" x2="30426" y2="6672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37899975"/>
          <a:ext cx="1362075" cy="1533525"/>
        </a:xfrm>
        <a:prstGeom prst="rect">
          <a:avLst/>
        </a:prstGeom>
      </xdr:spPr>
    </xdr:pic>
    <xdr:clientData/>
  </xdr:twoCellAnchor>
  <xdr:twoCellAnchor editAs="oneCell">
    <xdr:from>
      <xdr:col>74</xdr:col>
      <xdr:colOff>95250</xdr:colOff>
      <xdr:row>134</xdr:row>
      <xdr:rowOff>38100</xdr:rowOff>
    </xdr:from>
    <xdr:to>
      <xdr:col>75</xdr:col>
      <xdr:colOff>514350</xdr:colOff>
      <xdr:row>140</xdr:row>
      <xdr:rowOff>152400</xdr:rowOff>
    </xdr:to>
    <xdr:pic>
      <xdr:nvPicPr>
        <xdr:cNvPr id="3" name="employee_picture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829800" y="25565100"/>
          <a:ext cx="942975" cy="1257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85725</xdr:rowOff>
        </xdr:from>
        <xdr:to>
          <xdr:col>15</xdr:col>
          <xdr:colOff>476250</xdr:colOff>
          <xdr:row>22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5</xdr:row>
      <xdr:rowOff>0</xdr:rowOff>
    </xdr:from>
    <xdr:to>
      <xdr:col>9</xdr:col>
      <xdr:colOff>409577</xdr:colOff>
      <xdr:row>7</xdr:row>
      <xdr:rowOff>19050</xdr:rowOff>
    </xdr:to>
    <xdr:pic>
      <xdr:nvPicPr>
        <xdr:cNvPr id="25" name="employee_picture1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439275" y="952500"/>
          <a:ext cx="409577" cy="40005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771524</xdr:colOff>
      <xdr:row>1</xdr:row>
      <xdr:rowOff>0</xdr:rowOff>
    </xdr:from>
    <xdr:to>
      <xdr:col>9</xdr:col>
      <xdr:colOff>609599</xdr:colOff>
      <xdr:row>9</xdr:row>
      <xdr:rowOff>0</xdr:rowOff>
    </xdr:to>
    <xdr:pic>
      <xdr:nvPicPr>
        <xdr:cNvPr id="55" name="employee_picture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829674" y="190500"/>
          <a:ext cx="1219200" cy="152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771524</xdr:colOff>
      <xdr:row>1</xdr:row>
      <xdr:rowOff>0</xdr:rowOff>
    </xdr:from>
    <xdr:to>
      <xdr:col>9</xdr:col>
      <xdr:colOff>609599</xdr:colOff>
      <xdr:row>9</xdr:row>
      <xdr:rowOff>0</xdr:rowOff>
    </xdr:to>
    <xdr:pic>
      <xdr:nvPicPr>
        <xdr:cNvPr id="56" name="employee_picture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829674" y="190500"/>
          <a:ext cx="1219200" cy="152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771524</xdr:colOff>
      <xdr:row>1</xdr:row>
      <xdr:rowOff>0</xdr:rowOff>
    </xdr:from>
    <xdr:to>
      <xdr:col>9</xdr:col>
      <xdr:colOff>609599</xdr:colOff>
      <xdr:row>9</xdr:row>
      <xdr:rowOff>0</xdr:rowOff>
    </xdr:to>
    <xdr:pic>
      <xdr:nvPicPr>
        <xdr:cNvPr id="57" name="employee_picture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829674" y="190500"/>
          <a:ext cx="1219200" cy="152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771524</xdr:colOff>
      <xdr:row>1</xdr:row>
      <xdr:rowOff>0</xdr:rowOff>
    </xdr:from>
    <xdr:to>
      <xdr:col>9</xdr:col>
      <xdr:colOff>609599</xdr:colOff>
      <xdr:row>9</xdr:row>
      <xdr:rowOff>0</xdr:rowOff>
    </xdr:to>
    <xdr:pic>
      <xdr:nvPicPr>
        <xdr:cNvPr id="58" name="employee_picture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829674" y="190500"/>
          <a:ext cx="1219200" cy="152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ge_library">
    <pageSetUpPr fitToPage="1"/>
  </sheetPr>
  <dimension ref="A1:CO232"/>
  <sheetViews>
    <sheetView tabSelected="1" topLeftCell="A129" zoomScaleNormal="100" workbookViewId="0">
      <selection activeCell="BT144" sqref="BT144"/>
    </sheetView>
  </sheetViews>
  <sheetFormatPr defaultRowHeight="15" customHeight="1" x14ac:dyDescent="0.25"/>
  <cols>
    <col min="1" max="71" width="1.5703125" customWidth="1"/>
    <col min="72" max="72" width="20.140625" bestFit="1" customWidth="1"/>
    <col min="73" max="73" width="7.140625" bestFit="1" customWidth="1"/>
    <col min="74" max="74" width="7.140625" customWidth="1"/>
    <col min="75" max="75" width="7.85546875" bestFit="1" customWidth="1"/>
    <col min="76" max="76" width="16.7109375" bestFit="1" customWidth="1"/>
    <col min="77" max="77" width="7" bestFit="1" customWidth="1"/>
    <col min="78" max="78" width="8.28515625" bestFit="1" customWidth="1"/>
    <col min="79" max="79" width="8.28515625" customWidth="1"/>
    <col min="80" max="80" width="16.5703125" bestFit="1" customWidth="1"/>
    <col min="82" max="82" width="8.5703125" bestFit="1" customWidth="1"/>
    <col min="83" max="83" width="8.5703125" customWidth="1"/>
    <col min="84" max="84" width="16.5703125" customWidth="1"/>
    <col min="87" max="87" width="20.140625" bestFit="1" customWidth="1"/>
    <col min="88" max="88" width="5.42578125" bestFit="1" customWidth="1"/>
    <col min="89" max="89" width="14.7109375" bestFit="1" customWidth="1"/>
    <col min="90" max="90" width="6.140625" bestFit="1" customWidth="1"/>
    <col min="91" max="91" width="15" bestFit="1" customWidth="1"/>
    <col min="92" max="92" width="5.42578125" bestFit="1" customWidth="1"/>
    <col min="93" max="93" width="17.5703125" bestFit="1" customWidth="1"/>
  </cols>
  <sheetData>
    <row r="1" spans="1:93" ht="15" customHeight="1" x14ac:dyDescent="0.25">
      <c r="A1" s="53"/>
      <c r="B1" s="53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9" t="s">
        <v>41</v>
      </c>
      <c r="BU1" s="198" t="s">
        <v>38</v>
      </c>
      <c r="BV1" s="199"/>
      <c r="BW1" s="199"/>
      <c r="BX1" s="200"/>
      <c r="BY1" s="198" t="s">
        <v>39</v>
      </c>
      <c r="BZ1" s="199"/>
      <c r="CA1" s="199"/>
      <c r="CB1" s="200"/>
      <c r="CC1" s="198" t="s">
        <v>40</v>
      </c>
      <c r="CD1" s="199"/>
      <c r="CE1" s="199"/>
      <c r="CF1" s="200"/>
      <c r="CG1" t="s">
        <v>42</v>
      </c>
      <c r="CI1" t="s">
        <v>41</v>
      </c>
      <c r="CJ1" s="201" t="s">
        <v>38</v>
      </c>
      <c r="CK1" s="201"/>
      <c r="CL1" s="201" t="s">
        <v>39</v>
      </c>
      <c r="CM1" s="201"/>
      <c r="CN1" s="201" t="s">
        <v>40</v>
      </c>
      <c r="CO1" s="201"/>
    </row>
    <row r="2" spans="1:93" ht="15" customHeight="1" x14ac:dyDescent="0.25">
      <c r="A2" s="53"/>
      <c r="B2" s="5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53"/>
      <c r="Y2" s="5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53"/>
      <c r="AV2" s="53"/>
      <c r="AW2" s="4"/>
      <c r="AX2" s="4"/>
      <c r="AY2" s="4"/>
      <c r="AZ2" s="65"/>
      <c r="BA2" s="65"/>
      <c r="BB2" s="65"/>
      <c r="BC2" s="66"/>
      <c r="BD2" s="66"/>
      <c r="BE2" s="66"/>
      <c r="BF2" s="67"/>
      <c r="BG2" s="67"/>
      <c r="BH2" s="67"/>
      <c r="BI2" s="68"/>
      <c r="BJ2" s="68"/>
      <c r="BK2" s="68"/>
      <c r="BL2" s="64"/>
      <c r="BM2" s="64"/>
      <c r="BN2" s="64"/>
      <c r="BO2" s="4"/>
      <c r="BP2" s="4"/>
      <c r="BQ2" s="4"/>
      <c r="BR2" s="53"/>
      <c r="BS2" s="53"/>
      <c r="BT2" s="60" t="s">
        <v>1</v>
      </c>
      <c r="BU2" s="61" t="str">
        <f ca="1">CELL("address",$C2)</f>
        <v>$C$2</v>
      </c>
      <c r="BV2" s="61" t="str">
        <f ca="1">CELL("address",$W21)</f>
        <v>$W$21</v>
      </c>
      <c r="BW2" s="61" t="b">
        <f ca="1">IF(CELL("contents",INDIRECT($BU2))&lt;&gt;"X",TRUE,FALSE)</f>
        <v>1</v>
      </c>
      <c r="BX2" s="60" t="str">
        <f ca="1">CONCATENATE(BU2,":",BV2)</f>
        <v>$C$2:$W$21</v>
      </c>
      <c r="BY2" s="61" t="str">
        <f ca="1">CELL("address",$Z2)</f>
        <v>$Z$2</v>
      </c>
      <c r="BZ2" s="61" t="str">
        <f ca="1">CELL("address",$AT21)</f>
        <v>$AT$21</v>
      </c>
      <c r="CA2" s="61" t="b">
        <f ca="1">IF(CELL("contents",INDIRECT($BY2))&lt;&gt;"X",TRUE,FALSE)</f>
        <v>1</v>
      </c>
      <c r="CB2" s="60" t="str">
        <f ca="1">CONCATENATE(BY2,":",BZ2)</f>
        <v>$Z$2:$AT$21</v>
      </c>
      <c r="CC2" s="61" t="str">
        <f ca="1">CELL("address",$AW2)</f>
        <v>$AW$2</v>
      </c>
      <c r="CD2" s="61" t="str">
        <f ca="1">CELL("address",$BQ21)</f>
        <v>$BQ$21</v>
      </c>
      <c r="CE2" s="61" t="b">
        <f ca="1">IF(CELL("contents",INDIRECT($CC2))&lt;&gt;"X",TRUE,FALSE)</f>
        <v>1</v>
      </c>
      <c r="CF2" s="60" t="str">
        <f ca="1">CONCATENATE(CC2,":",CD2)</f>
        <v>$AW$2:$BQ$21</v>
      </c>
      <c r="CG2">
        <f ca="1">_xlfn.IFNA(IF($BW:$BW=TRUE,1+MAX($CG$1:CG1),""),"")</f>
        <v>1</v>
      </c>
      <c r="CI2" t="str">
        <f ca="1">IFERROR(INDEX(BT:BT,MATCH(ROWS($1:1),$CG:$CG,0)),"")</f>
        <v>ACCESS A</v>
      </c>
      <c r="CJ2" t="b">
        <f ca="1">IFERROR(INDEX(BW:BW,MATCH(ROWS($1:1),$CG:$CG,0)),"")</f>
        <v>1</v>
      </c>
      <c r="CK2" t="str">
        <f ca="1">IFERROR(INDEX(BX:BX,MATCH(ROWS($1:1),$CG:$CG,0)),"")</f>
        <v>$C$2:$W$21</v>
      </c>
      <c r="CL2" t="b">
        <f ca="1">IFERROR(INDEX(CA:CA,MATCH(ROWS($1:1),$CG:$CG,0)),"")</f>
        <v>1</v>
      </c>
      <c r="CM2" t="str">
        <f ca="1">IFERROR(INDEX(CB:CB,MATCH(ROWS($1:1),$CG:$CG,0)),"")</f>
        <v>$Z$2:$AT$21</v>
      </c>
      <c r="CN2" t="b">
        <f ca="1">IFERROR(INDEX(CE:CE,MATCH(ROWS($1:1),$CG:$CG,0)),"")</f>
        <v>1</v>
      </c>
      <c r="CO2" t="str">
        <f ca="1">IFERROR(INDEX(CF:CF,MATCH(ROWS($1:1),$CG:$CG,0)),"")</f>
        <v>$AW$2:$BQ$21</v>
      </c>
    </row>
    <row r="3" spans="1:93" ht="15" customHeight="1" x14ac:dyDescent="0.25">
      <c r="A3" s="53"/>
      <c r="B3" s="5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53"/>
      <c r="Y3" s="5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53"/>
      <c r="AV3" s="53"/>
      <c r="AW3" s="4"/>
      <c r="AX3" s="4"/>
      <c r="AY3" s="4"/>
      <c r="AZ3" s="65"/>
      <c r="BA3" s="65"/>
      <c r="BB3" s="65"/>
      <c r="BC3" s="66"/>
      <c r="BD3" s="66"/>
      <c r="BE3" s="66"/>
      <c r="BF3" s="67"/>
      <c r="BG3" s="67"/>
      <c r="BH3" s="67"/>
      <c r="BI3" s="68"/>
      <c r="BJ3" s="68"/>
      <c r="BK3" s="68"/>
      <c r="BL3" s="64"/>
      <c r="BM3" s="64"/>
      <c r="BN3" s="64"/>
      <c r="BO3" s="4"/>
      <c r="BP3" s="4"/>
      <c r="BQ3" s="4"/>
      <c r="BR3" s="53"/>
      <c r="BS3" s="53"/>
      <c r="BW3" s="58"/>
      <c r="BX3" s="50"/>
      <c r="BZ3" s="58"/>
      <c r="CA3" s="58"/>
      <c r="CB3" s="50"/>
      <c r="CD3" s="58"/>
      <c r="CE3" s="58"/>
      <c r="CI3" t="str">
        <f ca="1">IFERROR(INDEX(BT:BT,MATCH(ROWS($1:2),$CG:$CG,0)),"")</f>
        <v>ACCESS B</v>
      </c>
      <c r="CJ3" t="b">
        <f ca="1">IFERROR(INDEX(BW:BW,MATCH(ROWS($1:2),$CG:$CG,0)),"")</f>
        <v>1</v>
      </c>
      <c r="CK3" t="str">
        <f ca="1">IFERROR(INDEX(BX:BX,MATCH(ROWS($1:2),$CG:$CG,0)),"")</f>
        <v>$C$23:$W$42</v>
      </c>
      <c r="CL3" t="b">
        <f ca="1">IFERROR(INDEX(CA:CA,MATCH(ROWS($1:2),$CG:$CG,0)),"")</f>
        <v>1</v>
      </c>
      <c r="CM3" t="str">
        <f ca="1">IFERROR(INDEX(CB:CB,MATCH(ROWS($1:2),$CG:$CG,0)),"")</f>
        <v>$Z$23:$AT$42</v>
      </c>
      <c r="CN3" t="b">
        <f ca="1">IFERROR(INDEX(CE:CE,MATCH(ROWS($1:2),$CG:$CG,0)),"")</f>
        <v>1</v>
      </c>
      <c r="CO3" t="str">
        <f ca="1">IFERROR(INDEX(CF:CF,MATCH(ROWS($1:2),$CG:$CG,0)),"")</f>
        <v>$AW$23:$BQ$42</v>
      </c>
    </row>
    <row r="4" spans="1:93" ht="15" customHeight="1" x14ac:dyDescent="0.25">
      <c r="A4" s="53"/>
      <c r="B4" s="5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53"/>
      <c r="Y4" s="5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53"/>
      <c r="AV4" s="53"/>
      <c r="AW4" s="4"/>
      <c r="AX4" s="4"/>
      <c r="AY4" s="4"/>
      <c r="AZ4" s="65"/>
      <c r="BA4" s="65"/>
      <c r="BB4" s="65"/>
      <c r="BC4" s="66"/>
      <c r="BD4" s="66"/>
      <c r="BE4" s="66"/>
      <c r="BF4" s="67"/>
      <c r="BG4" s="67"/>
      <c r="BH4" s="67"/>
      <c r="BI4" s="68"/>
      <c r="BJ4" s="68"/>
      <c r="BK4" s="68"/>
      <c r="BL4" s="64"/>
      <c r="BM4" s="64"/>
      <c r="BN4" s="64"/>
      <c r="BO4" s="4"/>
      <c r="BP4" s="4"/>
      <c r="BQ4" s="4"/>
      <c r="BR4" s="53"/>
      <c r="BS4" s="53"/>
      <c r="CI4" t="str">
        <f ca="1">IFERROR(INDEX(BT:BT,MATCH(ROWS($1:3),$CG:$CG,0)),"")</f>
        <v>ACCESS C</v>
      </c>
      <c r="CJ4" t="b">
        <f ca="1">IFERROR(INDEX(BW:BW,MATCH(ROWS($1:3),$CG:$CG,0)),"")</f>
        <v>1</v>
      </c>
      <c r="CK4" t="str">
        <f ca="1">IFERROR(INDEX(BX:BX,MATCH(ROWS($1:3),$CG:$CG,0)),"")</f>
        <v>$C$44:$W$63</v>
      </c>
      <c r="CL4" t="b">
        <f ca="1">IFERROR(INDEX(CA:CA,MATCH(ROWS($1:3),$CG:$CG,0)),"")</f>
        <v>1</v>
      </c>
      <c r="CM4" t="str">
        <f ca="1">IFERROR(INDEX(CB:CB,MATCH(ROWS($1:3),$CG:$CG,0)),"")</f>
        <v>$Z$44:$AT$63</v>
      </c>
      <c r="CN4" t="b">
        <f ca="1">IFERROR(INDEX(CE:CE,MATCH(ROWS($1:3),$CG:$CG,0)),"")</f>
        <v>1</v>
      </c>
      <c r="CO4" t="str">
        <f ca="1">IFERROR(INDEX(CF:CF,MATCH(ROWS($1:3),$CG:$CG,0)),"")</f>
        <v>$AW$44:$BQ$63</v>
      </c>
    </row>
    <row r="5" spans="1:93" ht="15" customHeight="1" x14ac:dyDescent="0.25">
      <c r="A5" s="53"/>
      <c r="B5" s="53"/>
      <c r="C5" s="185" t="s">
        <v>36</v>
      </c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53"/>
      <c r="Y5" s="53"/>
      <c r="Z5" s="185" t="s">
        <v>36</v>
      </c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53"/>
      <c r="AV5" s="53"/>
      <c r="AW5" s="5"/>
      <c r="AX5" s="6"/>
      <c r="AY5" s="6"/>
      <c r="AZ5" s="65"/>
      <c r="BA5" s="65"/>
      <c r="BB5" s="65"/>
      <c r="BC5" s="66"/>
      <c r="BD5" s="66"/>
      <c r="BE5" s="66"/>
      <c r="BF5" s="67"/>
      <c r="BG5" s="67"/>
      <c r="BH5" s="67"/>
      <c r="BI5" s="68"/>
      <c r="BJ5" s="68"/>
      <c r="BK5" s="68"/>
      <c r="BL5" s="64"/>
      <c r="BM5" s="64"/>
      <c r="BN5" s="64"/>
      <c r="BO5" s="6"/>
      <c r="BP5" s="6"/>
      <c r="BQ5" s="6"/>
      <c r="BR5" s="53"/>
      <c r="BS5" s="53"/>
      <c r="CI5" t="str">
        <f ca="1">IFERROR(INDEX(BT:BT,MATCH(ROWS($1:4),$CG:$CG,0)),"")</f>
        <v>ACCESS D</v>
      </c>
      <c r="CJ5" t="b">
        <f ca="1">IFERROR(INDEX(BW:BW,MATCH(ROWS($1:4),$CG:$CG,0)),"")</f>
        <v>1</v>
      </c>
      <c r="CK5" t="str">
        <f ca="1">IFERROR(INDEX(BX:BX,MATCH(ROWS($1:4),$CG:$CG,0)),"")</f>
        <v>$C$65:$W$84</v>
      </c>
      <c r="CL5" t="b">
        <f ca="1">IFERROR(INDEX(CA:CA,MATCH(ROWS($1:4),$CG:$CG,0)),"")</f>
        <v>1</v>
      </c>
      <c r="CM5" t="str">
        <f ca="1">IFERROR(INDEX(CB:CB,MATCH(ROWS($1:4),$CG:$CG,0)),"")</f>
        <v>$Z$65:$AT$84</v>
      </c>
      <c r="CN5" t="b">
        <f ca="1">IFERROR(INDEX(CE:CE,MATCH(ROWS($1:4),$CG:$CG,0)),"")</f>
        <v>1</v>
      </c>
      <c r="CO5" t="str">
        <f ca="1">IFERROR(INDEX(CF:CF,MATCH(ROWS($1:4),$CG:$CG,0)),"")</f>
        <v>$AW$65:$BQ$84</v>
      </c>
    </row>
    <row r="6" spans="1:93" ht="15" customHeight="1" x14ac:dyDescent="0.25">
      <c r="A6" s="53"/>
      <c r="B6" s="53"/>
      <c r="C6" s="185" t="s">
        <v>35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53"/>
      <c r="Y6" s="53"/>
      <c r="Z6" s="185" t="s">
        <v>35</v>
      </c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53"/>
      <c r="AV6" s="53"/>
      <c r="AW6" s="5"/>
      <c r="AX6" s="6"/>
      <c r="AY6" s="6"/>
      <c r="AZ6" s="65"/>
      <c r="BA6" s="65"/>
      <c r="BB6" s="65"/>
      <c r="BC6" s="66"/>
      <c r="BD6" s="66"/>
      <c r="BE6" s="66"/>
      <c r="BF6" s="67"/>
      <c r="BG6" s="67"/>
      <c r="BH6" s="67"/>
      <c r="BI6" s="68"/>
      <c r="BJ6" s="68"/>
      <c r="BK6" s="68"/>
      <c r="BL6" s="64"/>
      <c r="BM6" s="64"/>
      <c r="BN6" s="64"/>
      <c r="BO6" s="6"/>
      <c r="BP6" s="6"/>
      <c r="BQ6" s="6"/>
      <c r="BR6" s="53"/>
      <c r="BS6" s="53"/>
      <c r="CI6" t="str">
        <f ca="1">IFERROR(INDEX(BT:BT,MATCH(ROWS($1:5),$CG:$CG,0)),"")</f>
        <v>LOOP PEAK PASS</v>
      </c>
      <c r="CJ6" t="b">
        <f ca="1">IFERROR(INDEX(BW:BW,MATCH(ROWS($1:5),$CG:$CG,0)),"")</f>
        <v>1</v>
      </c>
      <c r="CK6" t="str">
        <f ca="1">IFERROR(INDEX(BX:BX,MATCH(ROWS($1:5),$CG:$CG,0)),"")</f>
        <v>$C$86:$W$105</v>
      </c>
      <c r="CL6" t="b">
        <f ca="1">IFERROR(INDEX(CA:CA,MATCH(ROWS($1:5),$CG:$CG,0)),"")</f>
        <v>0</v>
      </c>
      <c r="CM6" t="str">
        <f ca="1">IFERROR(INDEX(CB:CB,MATCH(ROWS($1:5),$CG:$CG,0)),"")</f>
        <v>$Z$86:$AT$105</v>
      </c>
      <c r="CN6" t="b">
        <f ca="1">IFERROR(INDEX(CE:CE,MATCH(ROWS($1:5),$CG:$CG,0)),"")</f>
        <v>1</v>
      </c>
      <c r="CO6" t="str">
        <f ca="1">IFERROR(INDEX(CF:CF,MATCH(ROWS($1:5),$CG:$CG,0)),"")</f>
        <v>$AW$86:$BQ$105</v>
      </c>
    </row>
    <row r="7" spans="1:93" ht="15" customHeight="1" x14ac:dyDescent="0.25">
      <c r="A7" s="53"/>
      <c r="B7" s="53"/>
      <c r="C7" s="115" t="s">
        <v>1</v>
      </c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53"/>
      <c r="Y7" s="53"/>
      <c r="Z7" s="103" t="s">
        <v>2</v>
      </c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53"/>
      <c r="AV7" s="53"/>
      <c r="AW7" s="7"/>
      <c r="AX7" s="4"/>
      <c r="AY7" s="4"/>
      <c r="AZ7" s="65" t="s">
        <v>3</v>
      </c>
      <c r="BA7" s="65"/>
      <c r="BB7" s="65"/>
      <c r="BC7" s="66" t="s">
        <v>4</v>
      </c>
      <c r="BD7" s="66"/>
      <c r="BE7" s="66"/>
      <c r="BF7" s="67" t="s">
        <v>5</v>
      </c>
      <c r="BG7" s="67"/>
      <c r="BH7" s="67"/>
      <c r="BI7" s="68" t="s">
        <v>6</v>
      </c>
      <c r="BJ7" s="68"/>
      <c r="BK7" s="68"/>
      <c r="BL7" s="64" t="s">
        <v>7</v>
      </c>
      <c r="BM7" s="64"/>
      <c r="BN7" s="64"/>
      <c r="BO7" s="7"/>
      <c r="BP7" s="7"/>
      <c r="BQ7" s="7"/>
      <c r="BR7" s="53"/>
      <c r="BS7" s="53"/>
      <c r="CI7" t="str">
        <f ca="1">IFERROR(INDEX(BT:BT,MATCH(ROWS($1:6),$CG:$CG,0)),"")</f>
        <v>PIT LICENSE</v>
      </c>
      <c r="CJ7" t="b">
        <f ca="1">IFERROR(INDEX(BW:BW,MATCH(ROWS($1:6),$CG:$CG,0)),"")</f>
        <v>1</v>
      </c>
      <c r="CK7" t="str">
        <f ca="1">IFERROR(INDEX(BX:BX,MATCH(ROWS($1:6),$CG:$CG,0)),"")</f>
        <v>$C$107:$W$126</v>
      </c>
      <c r="CL7" t="b">
        <f ca="1">IFERROR(INDEX(CA:CA,MATCH(ROWS($1:6),$CG:$CG,0)),"")</f>
        <v>0</v>
      </c>
      <c r="CM7" t="str">
        <f ca="1">IFERROR(INDEX(CB:CB,MATCH(ROWS($1:6),$CG:$CG,0)),"")</f>
        <v>$Z$107:$AT$126</v>
      </c>
      <c r="CN7" t="b">
        <f ca="1">IFERROR(INDEX(CE:CE,MATCH(ROWS($1:6),$CG:$CG,0)),"")</f>
        <v>1</v>
      </c>
      <c r="CO7" t="str">
        <f ca="1">IFERROR(INDEX(CF:CF,MATCH(ROWS($1:6),$CG:$CG,0)),"")</f>
        <v>$AW$107:$BQ$126</v>
      </c>
    </row>
    <row r="8" spans="1:93" ht="15" customHeight="1" x14ac:dyDescent="0.25">
      <c r="A8" s="53"/>
      <c r="B8" s="53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53"/>
      <c r="Y8" s="5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53"/>
      <c r="AV8" s="53"/>
      <c r="AW8" s="7"/>
      <c r="AX8" s="4"/>
      <c r="AY8" s="4"/>
      <c r="AZ8" s="65"/>
      <c r="BA8" s="65"/>
      <c r="BB8" s="65"/>
      <c r="BC8" s="66"/>
      <c r="BD8" s="66"/>
      <c r="BE8" s="66"/>
      <c r="BF8" s="67"/>
      <c r="BG8" s="67"/>
      <c r="BH8" s="67"/>
      <c r="BI8" s="68"/>
      <c r="BJ8" s="68"/>
      <c r="BK8" s="68"/>
      <c r="BL8" s="64"/>
      <c r="BM8" s="64"/>
      <c r="BN8" s="64"/>
      <c r="BO8" s="7"/>
      <c r="BP8" s="7"/>
      <c r="BQ8" s="7"/>
      <c r="BR8" s="53"/>
      <c r="BS8" s="53"/>
      <c r="CI8" t="str">
        <f ca="1">IFERROR(INDEX(BT:BT,MATCH(ROWS($1:7),$CG:$CG,0)),"")</f>
        <v>YARD ACCESS</v>
      </c>
      <c r="CJ8" t="b">
        <f ca="1">IFERROR(INDEX(BW:BW,MATCH(ROWS($1:7),$CG:$CG,0)),"")</f>
        <v>1</v>
      </c>
      <c r="CK8" t="str">
        <f ca="1">IFERROR(INDEX(BX:BX,MATCH(ROWS($1:7),$CG:$CG,0)),"")</f>
        <v>$C$128:$W$147</v>
      </c>
      <c r="CL8" t="b">
        <f ca="1">IFERROR(INDEX(CA:CA,MATCH(ROWS($1:7),$CG:$CG,0)),"")</f>
        <v>0</v>
      </c>
      <c r="CM8" t="str">
        <f ca="1">IFERROR(INDEX(CB:CB,MATCH(ROWS($1:7),$CG:$CG,0)),"")</f>
        <v>$Z$128:$AT$147</v>
      </c>
      <c r="CN8" t="b">
        <f ca="1">IFERROR(INDEX(CE:CE,MATCH(ROWS($1:7),$CG:$CG,0)),"")</f>
        <v>1</v>
      </c>
      <c r="CO8" t="str">
        <f ca="1">IFERROR(INDEX(CF:CF,MATCH(ROWS($1:7),$CG:$CG,0)),"")</f>
        <v>$AW$128:$BQ$147</v>
      </c>
    </row>
    <row r="9" spans="1:93" ht="15" customHeight="1" x14ac:dyDescent="0.25">
      <c r="A9" s="53"/>
      <c r="B9" s="53"/>
      <c r="C9" s="3"/>
      <c r="D9" s="3"/>
      <c r="E9" s="3"/>
      <c r="F9" s="3"/>
      <c r="G9" s="3"/>
      <c r="H9" s="188" t="s">
        <v>37</v>
      </c>
      <c r="I9" s="189"/>
      <c r="J9" s="189"/>
      <c r="K9" s="189"/>
      <c r="L9" s="189"/>
      <c r="M9" s="189"/>
      <c r="N9" s="189"/>
      <c r="O9" s="189"/>
      <c r="P9" s="189"/>
      <c r="Q9" s="189"/>
      <c r="R9" s="190"/>
      <c r="S9" s="3"/>
      <c r="T9" s="3"/>
      <c r="U9" s="3"/>
      <c r="V9" s="3"/>
      <c r="W9" s="3"/>
      <c r="X9" s="53"/>
      <c r="Y9" s="53"/>
      <c r="Z9" s="3"/>
      <c r="AA9" s="3"/>
      <c r="AB9" s="3"/>
      <c r="AC9" s="3"/>
      <c r="AD9" s="3"/>
      <c r="AE9" s="188" t="s">
        <v>37</v>
      </c>
      <c r="AF9" s="189"/>
      <c r="AG9" s="189"/>
      <c r="AH9" s="189"/>
      <c r="AI9" s="189"/>
      <c r="AJ9" s="189"/>
      <c r="AK9" s="189"/>
      <c r="AL9" s="189"/>
      <c r="AM9" s="189"/>
      <c r="AN9" s="189"/>
      <c r="AO9" s="190"/>
      <c r="AP9" s="3"/>
      <c r="AQ9" s="3"/>
      <c r="AR9" s="3"/>
      <c r="AS9" s="3"/>
      <c r="AT9" s="3"/>
      <c r="AU9" s="53"/>
      <c r="AV9" s="53"/>
      <c r="AW9" s="4"/>
      <c r="AX9" s="4"/>
      <c r="AY9" s="4"/>
      <c r="AZ9" s="79" t="s">
        <v>8</v>
      </c>
      <c r="BA9" s="79"/>
      <c r="BB9" s="79"/>
      <c r="BC9" s="80" t="s">
        <v>9</v>
      </c>
      <c r="BD9" s="80"/>
      <c r="BE9" s="80"/>
      <c r="BF9" s="81" t="s">
        <v>10</v>
      </c>
      <c r="BG9" s="81"/>
      <c r="BH9" s="81"/>
      <c r="BI9" s="82" t="s">
        <v>11</v>
      </c>
      <c r="BJ9" s="82"/>
      <c r="BK9" s="82"/>
      <c r="BL9" s="83" t="s">
        <v>12</v>
      </c>
      <c r="BM9" s="83"/>
      <c r="BN9" s="83"/>
      <c r="BO9" s="4"/>
      <c r="BP9" s="4"/>
      <c r="BQ9" s="4"/>
      <c r="BR9" s="53"/>
      <c r="BS9" s="53"/>
      <c r="CI9" t="str">
        <f ca="1">IFERROR(INDEX(BT:BT,MATCH(ROWS($1:8),$CG:$CG,0)),"")</f>
        <v>OUTDOOR MARSHALL</v>
      </c>
      <c r="CJ9" t="b">
        <f ca="1">IFERROR(INDEX(BW:BW,MATCH(ROWS($1:8),$CG:$CG,0)),"")</f>
        <v>1</v>
      </c>
      <c r="CK9" t="str">
        <f ca="1">IFERROR(INDEX(BX:BX,MATCH(ROWS($1:8),$CG:$CG,0)),"")</f>
        <v>$C$149:$W$168</v>
      </c>
      <c r="CL9" t="b">
        <f ca="1">IFERROR(INDEX(CA:CA,MATCH(ROWS($1:8),$CG:$CG,0)),"")</f>
        <v>0</v>
      </c>
      <c r="CM9" t="str">
        <f ca="1">IFERROR(INDEX(CB:CB,MATCH(ROWS($1:8),$CG:$CG,0)),"")</f>
        <v>$Z$149:$AT$168</v>
      </c>
      <c r="CN9" t="b">
        <f ca="1">IFERROR(INDEX(CE:CE,MATCH(ROWS($1:8),$CG:$CG,0)),"")</f>
        <v>1</v>
      </c>
      <c r="CO9" t="str">
        <f ca="1">IFERROR(INDEX(CF:CF,MATCH(ROWS($1:8),$CG:$CG,0)),"")</f>
        <v>$AW$149:$BQ$168</v>
      </c>
    </row>
    <row r="10" spans="1:93" ht="15" customHeight="1" x14ac:dyDescent="0.25">
      <c r="A10" s="53"/>
      <c r="B10" s="53"/>
      <c r="C10" s="3"/>
      <c r="D10" s="3"/>
      <c r="E10" s="3"/>
      <c r="F10" s="3"/>
      <c r="G10" s="3"/>
      <c r="H10" s="191"/>
      <c r="I10" s="192"/>
      <c r="J10" s="192"/>
      <c r="K10" s="192"/>
      <c r="L10" s="192"/>
      <c r="M10" s="192"/>
      <c r="N10" s="192"/>
      <c r="O10" s="192"/>
      <c r="P10" s="192"/>
      <c r="Q10" s="192"/>
      <c r="R10" s="193"/>
      <c r="S10" s="3"/>
      <c r="T10" s="3"/>
      <c r="U10" s="3"/>
      <c r="V10" s="3"/>
      <c r="W10" s="3"/>
      <c r="X10" s="53"/>
      <c r="Y10" s="53"/>
      <c r="Z10" s="3"/>
      <c r="AA10" s="3"/>
      <c r="AB10" s="3"/>
      <c r="AC10" s="3"/>
      <c r="AD10" s="3"/>
      <c r="AE10" s="191"/>
      <c r="AF10" s="192"/>
      <c r="AG10" s="192"/>
      <c r="AH10" s="192"/>
      <c r="AI10" s="192"/>
      <c r="AJ10" s="192"/>
      <c r="AK10" s="192"/>
      <c r="AL10" s="192"/>
      <c r="AM10" s="192"/>
      <c r="AN10" s="192"/>
      <c r="AO10" s="193"/>
      <c r="AP10" s="3"/>
      <c r="AQ10" s="3"/>
      <c r="AR10" s="3"/>
      <c r="AS10" s="3"/>
      <c r="AT10" s="3"/>
      <c r="AU10" s="53"/>
      <c r="AV10" s="53"/>
      <c r="AW10" s="4"/>
      <c r="AX10" s="4"/>
      <c r="AY10" s="4"/>
      <c r="AZ10" s="79"/>
      <c r="BA10" s="79"/>
      <c r="BB10" s="79"/>
      <c r="BC10" s="80"/>
      <c r="BD10" s="80"/>
      <c r="BE10" s="80"/>
      <c r="BF10" s="81"/>
      <c r="BG10" s="81"/>
      <c r="BH10" s="81"/>
      <c r="BI10" s="82"/>
      <c r="BJ10" s="82"/>
      <c r="BK10" s="82"/>
      <c r="BL10" s="83"/>
      <c r="BM10" s="83"/>
      <c r="BN10" s="83"/>
      <c r="BO10" s="4"/>
      <c r="BP10" s="4"/>
      <c r="BQ10" s="4"/>
      <c r="BR10" s="53"/>
      <c r="BS10" s="53"/>
      <c r="CI10" t="str">
        <f ca="1">IFERROR(INDEX(BT:BT,MATCH(ROWS($1:9),$CG:$CG,0)),"")</f>
        <v>OUTDOOR MARSHALL</v>
      </c>
      <c r="CJ10" t="b">
        <f ca="1">IFERROR(INDEX(BW:BW,MATCH(ROWS($1:9),$CG:$CG,0)),"")</f>
        <v>1</v>
      </c>
      <c r="CK10" t="str">
        <f ca="1">IFERROR(INDEX(BX:BX,MATCH(ROWS($1:9),$CG:$CG,0)),"")</f>
        <v>$C$170:$W$189</v>
      </c>
      <c r="CL10" t="b">
        <f ca="1">IFERROR(INDEX(CA:CA,MATCH(ROWS($1:9),$CG:$CG,0)),"")</f>
        <v>0</v>
      </c>
      <c r="CM10" t="str">
        <f ca="1">IFERROR(INDEX(CB:CB,MATCH(ROWS($1:9),$CG:$CG,0)),"")</f>
        <v>$Z$170:$AT$189</v>
      </c>
      <c r="CN10" t="b">
        <f ca="1">IFERROR(INDEX(CE:CE,MATCH(ROWS($1:9),$CG:$CG,0)),"")</f>
        <v>1</v>
      </c>
      <c r="CO10" t="str">
        <f ca="1">IFERROR(INDEX(CF:CF,MATCH(ROWS($1:9),$CG:$CG,0)),"")</f>
        <v>$AW$170:$BQ$189</v>
      </c>
    </row>
    <row r="11" spans="1:93" ht="15" customHeight="1" x14ac:dyDescent="0.25">
      <c r="A11" s="53"/>
      <c r="B11" s="53"/>
      <c r="C11" s="3"/>
      <c r="D11" s="3"/>
      <c r="E11" s="3"/>
      <c r="F11" s="3"/>
      <c r="G11" s="3"/>
      <c r="H11" s="191"/>
      <c r="I11" s="192"/>
      <c r="J11" s="192"/>
      <c r="K11" s="192"/>
      <c r="L11" s="192"/>
      <c r="M11" s="192"/>
      <c r="N11" s="192"/>
      <c r="O11" s="192"/>
      <c r="P11" s="192"/>
      <c r="Q11" s="192"/>
      <c r="R11" s="193"/>
      <c r="S11" s="3"/>
      <c r="T11" s="3"/>
      <c r="U11" s="3"/>
      <c r="V11" s="3"/>
      <c r="W11" s="3"/>
      <c r="X11" s="53"/>
      <c r="Y11" s="53"/>
      <c r="Z11" s="3"/>
      <c r="AA11" s="3"/>
      <c r="AB11" s="3"/>
      <c r="AC11" s="3"/>
      <c r="AD11" s="3"/>
      <c r="AE11" s="191"/>
      <c r="AF11" s="192"/>
      <c r="AG11" s="192"/>
      <c r="AH11" s="192"/>
      <c r="AI11" s="192"/>
      <c r="AJ11" s="192"/>
      <c r="AK11" s="192"/>
      <c r="AL11" s="192"/>
      <c r="AM11" s="192"/>
      <c r="AN11" s="192"/>
      <c r="AO11" s="193"/>
      <c r="AP11" s="3"/>
      <c r="AQ11" s="3"/>
      <c r="AR11" s="3"/>
      <c r="AS11" s="3"/>
      <c r="AT11" s="3"/>
      <c r="AU11" s="53"/>
      <c r="AV11" s="53"/>
      <c r="AW11" s="4"/>
      <c r="AX11" s="4"/>
      <c r="AY11" s="4"/>
      <c r="AZ11" s="79"/>
      <c r="BA11" s="79"/>
      <c r="BB11" s="79"/>
      <c r="BC11" s="80"/>
      <c r="BD11" s="80"/>
      <c r="BE11" s="80"/>
      <c r="BF11" s="81"/>
      <c r="BG11" s="81"/>
      <c r="BH11" s="81"/>
      <c r="BI11" s="82"/>
      <c r="BJ11" s="82"/>
      <c r="BK11" s="82"/>
      <c r="BL11" s="83"/>
      <c r="BM11" s="83"/>
      <c r="BN11" s="83"/>
      <c r="BO11" s="4"/>
      <c r="BP11" s="4"/>
      <c r="BQ11" s="4"/>
      <c r="BR11" s="53"/>
      <c r="BS11" s="53"/>
      <c r="CI11" t="str">
        <f ca="1">IFERROR(INDEX(BT:BT,MATCH(ROWS($1:10),$CG:$CG,0)),"")</f>
        <v>ROBOTIC PALLETIZER</v>
      </c>
      <c r="CJ11" t="b">
        <f ca="1">IFERROR(INDEX(BW:BW,MATCH(ROWS($1:10),$CG:$CG,0)),"")</f>
        <v>1</v>
      </c>
      <c r="CK11" t="str">
        <f ca="1">IFERROR(INDEX(BX:BX,MATCH(ROWS($1:10),$CG:$CG,0)),"")</f>
        <v>$C$191:$W$210</v>
      </c>
      <c r="CL11" t="b">
        <f ca="1">IFERROR(INDEX(CA:CA,MATCH(ROWS($1:10),$CG:$CG,0)),"")</f>
        <v>0</v>
      </c>
      <c r="CM11" t="str">
        <f ca="1">IFERROR(INDEX(CB:CB,MATCH(ROWS($1:10),$CG:$CG,0)),"")</f>
        <v>$Z$191:$AT$210</v>
      </c>
      <c r="CN11" t="b">
        <f ca="1">IFERROR(INDEX(CE:CE,MATCH(ROWS($1:10),$CG:$CG,0)),"")</f>
        <v>1</v>
      </c>
      <c r="CO11" t="str">
        <f ca="1">IFERROR(INDEX(CF:CF,MATCH(ROWS($1:10),$CG:$CG,0)),"")</f>
        <v>$AW$191:$BQ$210</v>
      </c>
    </row>
    <row r="12" spans="1:93" ht="15" customHeight="1" x14ac:dyDescent="0.25">
      <c r="A12" s="53"/>
      <c r="B12" s="53"/>
      <c r="C12" s="3"/>
      <c r="D12" s="3"/>
      <c r="E12" s="3"/>
      <c r="F12" s="3"/>
      <c r="G12" s="3"/>
      <c r="H12" s="191"/>
      <c r="I12" s="192"/>
      <c r="J12" s="192"/>
      <c r="K12" s="192"/>
      <c r="L12" s="192"/>
      <c r="M12" s="192"/>
      <c r="N12" s="192"/>
      <c r="O12" s="192"/>
      <c r="P12" s="192"/>
      <c r="Q12" s="192"/>
      <c r="R12" s="193"/>
      <c r="S12" s="3"/>
      <c r="T12" s="3"/>
      <c r="U12" s="3"/>
      <c r="V12" s="3"/>
      <c r="W12" s="3"/>
      <c r="X12" s="53"/>
      <c r="Y12" s="53"/>
      <c r="Z12" s="3"/>
      <c r="AA12" s="3"/>
      <c r="AB12" s="3"/>
      <c r="AC12" s="3"/>
      <c r="AD12" s="3"/>
      <c r="AE12" s="191"/>
      <c r="AF12" s="192"/>
      <c r="AG12" s="192"/>
      <c r="AH12" s="192"/>
      <c r="AI12" s="192"/>
      <c r="AJ12" s="192"/>
      <c r="AK12" s="192"/>
      <c r="AL12" s="192"/>
      <c r="AM12" s="192"/>
      <c r="AN12" s="192"/>
      <c r="AO12" s="193"/>
      <c r="AP12" s="3"/>
      <c r="AQ12" s="3"/>
      <c r="AR12" s="3"/>
      <c r="AS12" s="3"/>
      <c r="AT12" s="3"/>
      <c r="AU12" s="53"/>
      <c r="AV12" s="53"/>
      <c r="AW12" s="4"/>
      <c r="AX12" s="4"/>
      <c r="AY12" s="4"/>
      <c r="AZ12" s="79"/>
      <c r="BA12" s="79"/>
      <c r="BB12" s="79"/>
      <c r="BC12" s="80"/>
      <c r="BD12" s="80"/>
      <c r="BE12" s="80"/>
      <c r="BF12" s="81"/>
      <c r="BG12" s="81"/>
      <c r="BH12" s="81"/>
      <c r="BI12" s="82"/>
      <c r="BJ12" s="82"/>
      <c r="BK12" s="82"/>
      <c r="BL12" s="83"/>
      <c r="BM12" s="83"/>
      <c r="BN12" s="83"/>
      <c r="BO12" s="4"/>
      <c r="BP12" s="4"/>
      <c r="BQ12" s="4"/>
      <c r="BR12" s="53"/>
      <c r="BS12" s="53"/>
    </row>
    <row r="13" spans="1:93" ht="15" customHeight="1" x14ac:dyDescent="0.25">
      <c r="A13" s="53"/>
      <c r="B13" s="53"/>
      <c r="C13" s="3"/>
      <c r="D13" s="3"/>
      <c r="E13" s="3"/>
      <c r="F13" s="3"/>
      <c r="G13" s="3"/>
      <c r="H13" s="191"/>
      <c r="I13" s="192"/>
      <c r="J13" s="192"/>
      <c r="K13" s="192"/>
      <c r="L13" s="192"/>
      <c r="M13" s="192"/>
      <c r="N13" s="192"/>
      <c r="O13" s="192"/>
      <c r="P13" s="192"/>
      <c r="Q13" s="192"/>
      <c r="R13" s="193"/>
      <c r="S13" s="3"/>
      <c r="T13" s="3"/>
      <c r="U13" s="3"/>
      <c r="V13" s="3"/>
      <c r="W13" s="3"/>
      <c r="X13" s="53"/>
      <c r="Y13" s="53"/>
      <c r="Z13" s="3"/>
      <c r="AA13" s="3"/>
      <c r="AB13" s="3"/>
      <c r="AC13" s="3"/>
      <c r="AD13" s="3"/>
      <c r="AE13" s="191"/>
      <c r="AF13" s="192"/>
      <c r="AG13" s="192"/>
      <c r="AH13" s="192"/>
      <c r="AI13" s="192"/>
      <c r="AJ13" s="192"/>
      <c r="AK13" s="192"/>
      <c r="AL13" s="192"/>
      <c r="AM13" s="192"/>
      <c r="AN13" s="192"/>
      <c r="AO13" s="193"/>
      <c r="AP13" s="3"/>
      <c r="AQ13" s="3"/>
      <c r="AR13" s="3"/>
      <c r="AS13" s="3"/>
      <c r="AT13" s="3"/>
      <c r="AU13" s="53"/>
      <c r="AV13" s="53"/>
      <c r="AW13" s="4"/>
      <c r="AX13" s="4"/>
      <c r="AY13" s="4"/>
      <c r="AZ13" s="79"/>
      <c r="BA13" s="79"/>
      <c r="BB13" s="79"/>
      <c r="BC13" s="80"/>
      <c r="BD13" s="80"/>
      <c r="BE13" s="80"/>
      <c r="BF13" s="81"/>
      <c r="BG13" s="81"/>
      <c r="BH13" s="81"/>
      <c r="BI13" s="82"/>
      <c r="BJ13" s="82"/>
      <c r="BK13" s="82"/>
      <c r="BL13" s="83"/>
      <c r="BM13" s="83"/>
      <c r="BN13" s="83"/>
      <c r="BO13" s="4"/>
      <c r="BP13" s="4"/>
      <c r="BQ13" s="4"/>
      <c r="BR13" s="53"/>
      <c r="BS13" s="53"/>
    </row>
    <row r="14" spans="1:93" ht="15" customHeight="1" x14ac:dyDescent="0.25">
      <c r="A14" s="53"/>
      <c r="B14" s="53"/>
      <c r="C14" s="3"/>
      <c r="D14" s="3"/>
      <c r="E14" s="3"/>
      <c r="F14" s="3"/>
      <c r="G14" s="3"/>
      <c r="H14" s="191"/>
      <c r="I14" s="192"/>
      <c r="J14" s="192"/>
      <c r="K14" s="192"/>
      <c r="L14" s="192"/>
      <c r="M14" s="192"/>
      <c r="N14" s="192"/>
      <c r="O14" s="192"/>
      <c r="P14" s="192"/>
      <c r="Q14" s="192"/>
      <c r="R14" s="193"/>
      <c r="S14" s="3"/>
      <c r="T14" s="3"/>
      <c r="U14" s="3"/>
      <c r="V14" s="3"/>
      <c r="W14" s="3"/>
      <c r="X14" s="53"/>
      <c r="Y14" s="53"/>
      <c r="Z14" s="3"/>
      <c r="AA14" s="3"/>
      <c r="AB14" s="3"/>
      <c r="AC14" s="3"/>
      <c r="AD14" s="3"/>
      <c r="AE14" s="191"/>
      <c r="AF14" s="192"/>
      <c r="AG14" s="192"/>
      <c r="AH14" s="192"/>
      <c r="AI14" s="192"/>
      <c r="AJ14" s="192"/>
      <c r="AK14" s="192"/>
      <c r="AL14" s="192"/>
      <c r="AM14" s="192"/>
      <c r="AN14" s="192"/>
      <c r="AO14" s="193"/>
      <c r="AP14" s="3"/>
      <c r="AQ14" s="3"/>
      <c r="AR14" s="3"/>
      <c r="AS14" s="3"/>
      <c r="AT14" s="3"/>
      <c r="AU14" s="53"/>
      <c r="AV14" s="53"/>
      <c r="AW14" s="4"/>
      <c r="AX14" s="4"/>
      <c r="AY14" s="4"/>
      <c r="AZ14" s="79"/>
      <c r="BA14" s="79"/>
      <c r="BB14" s="79"/>
      <c r="BC14" s="80"/>
      <c r="BD14" s="80"/>
      <c r="BE14" s="80"/>
      <c r="BF14" s="81"/>
      <c r="BG14" s="81"/>
      <c r="BH14" s="81"/>
      <c r="BI14" s="82"/>
      <c r="BJ14" s="82"/>
      <c r="BK14" s="82"/>
      <c r="BL14" s="83"/>
      <c r="BM14" s="83"/>
      <c r="BN14" s="83"/>
      <c r="BO14" s="4"/>
      <c r="BP14" s="4"/>
      <c r="BQ14" s="4"/>
      <c r="BR14" s="53"/>
      <c r="BS14" s="53"/>
    </row>
    <row r="15" spans="1:93" ht="15" customHeight="1" x14ac:dyDescent="0.25">
      <c r="A15" s="53"/>
      <c r="B15" s="53"/>
      <c r="C15" s="3"/>
      <c r="D15" s="3"/>
      <c r="E15" s="3"/>
      <c r="F15" s="3"/>
      <c r="G15" s="3"/>
      <c r="H15" s="191"/>
      <c r="I15" s="192"/>
      <c r="J15" s="192"/>
      <c r="K15" s="192"/>
      <c r="L15" s="192"/>
      <c r="M15" s="192"/>
      <c r="N15" s="192"/>
      <c r="O15" s="192"/>
      <c r="P15" s="192"/>
      <c r="Q15" s="192"/>
      <c r="R15" s="193"/>
      <c r="S15" s="3"/>
      <c r="T15" s="3"/>
      <c r="U15" s="3"/>
      <c r="V15" s="3"/>
      <c r="W15" s="3"/>
      <c r="X15" s="53"/>
      <c r="Y15" s="53"/>
      <c r="Z15" s="3"/>
      <c r="AA15" s="3"/>
      <c r="AB15" s="3"/>
      <c r="AC15" s="3"/>
      <c r="AD15" s="3"/>
      <c r="AE15" s="191"/>
      <c r="AF15" s="192"/>
      <c r="AG15" s="192"/>
      <c r="AH15" s="192"/>
      <c r="AI15" s="192"/>
      <c r="AJ15" s="192"/>
      <c r="AK15" s="192"/>
      <c r="AL15" s="192"/>
      <c r="AM15" s="192"/>
      <c r="AN15" s="192"/>
      <c r="AO15" s="193"/>
      <c r="AP15" s="3"/>
      <c r="AQ15" s="3"/>
      <c r="AR15" s="3"/>
      <c r="AS15" s="3"/>
      <c r="AT15" s="3"/>
      <c r="AU15" s="53"/>
      <c r="AV15" s="53"/>
      <c r="AW15" s="4"/>
      <c r="AX15" s="4"/>
      <c r="AY15" s="4"/>
      <c r="AZ15" s="79"/>
      <c r="BA15" s="79"/>
      <c r="BB15" s="79"/>
      <c r="BC15" s="80"/>
      <c r="BD15" s="80"/>
      <c r="BE15" s="80"/>
      <c r="BF15" s="81"/>
      <c r="BG15" s="81"/>
      <c r="BH15" s="81"/>
      <c r="BI15" s="82"/>
      <c r="BJ15" s="82"/>
      <c r="BK15" s="82"/>
      <c r="BL15" s="83"/>
      <c r="BM15" s="83"/>
      <c r="BN15" s="83"/>
      <c r="BO15" s="4"/>
      <c r="BP15" s="4"/>
      <c r="BQ15" s="4"/>
      <c r="BR15" s="53"/>
      <c r="BS15" s="53"/>
    </row>
    <row r="16" spans="1:93" ht="15" customHeight="1" x14ac:dyDescent="0.25">
      <c r="A16" s="53"/>
      <c r="B16" s="53"/>
      <c r="C16" s="3"/>
      <c r="D16" s="3"/>
      <c r="E16" s="3"/>
      <c r="F16" s="3"/>
      <c r="G16" s="3"/>
      <c r="H16" s="194"/>
      <c r="I16" s="195"/>
      <c r="J16" s="195"/>
      <c r="K16" s="195"/>
      <c r="L16" s="195"/>
      <c r="M16" s="195"/>
      <c r="N16" s="195"/>
      <c r="O16" s="195"/>
      <c r="P16" s="195"/>
      <c r="Q16" s="195"/>
      <c r="R16" s="196"/>
      <c r="S16" s="3"/>
      <c r="T16" s="3"/>
      <c r="U16" s="3"/>
      <c r="V16" s="3"/>
      <c r="W16" s="3"/>
      <c r="X16" s="53"/>
      <c r="Y16" s="53"/>
      <c r="Z16" s="3"/>
      <c r="AA16" s="3"/>
      <c r="AB16" s="3"/>
      <c r="AC16" s="3"/>
      <c r="AD16" s="3"/>
      <c r="AE16" s="194"/>
      <c r="AF16" s="195"/>
      <c r="AG16" s="195"/>
      <c r="AH16" s="195"/>
      <c r="AI16" s="195"/>
      <c r="AJ16" s="195"/>
      <c r="AK16" s="195"/>
      <c r="AL16" s="195"/>
      <c r="AM16" s="195"/>
      <c r="AN16" s="195"/>
      <c r="AO16" s="196"/>
      <c r="AP16" s="3"/>
      <c r="AQ16" s="3"/>
      <c r="AR16" s="3"/>
      <c r="AS16" s="3"/>
      <c r="AT16" s="3"/>
      <c r="AU16" s="53"/>
      <c r="AV16" s="53"/>
      <c r="AW16" s="4"/>
      <c r="AX16" s="4"/>
      <c r="AY16" s="4"/>
      <c r="AZ16" s="79"/>
      <c r="BA16" s="79"/>
      <c r="BB16" s="79"/>
      <c r="BC16" s="80"/>
      <c r="BD16" s="80"/>
      <c r="BE16" s="80"/>
      <c r="BF16" s="81"/>
      <c r="BG16" s="81"/>
      <c r="BH16" s="81"/>
      <c r="BI16" s="82"/>
      <c r="BJ16" s="82"/>
      <c r="BK16" s="82"/>
      <c r="BL16" s="83"/>
      <c r="BM16" s="83"/>
      <c r="BN16" s="83"/>
      <c r="BO16" s="4"/>
      <c r="BP16" s="4"/>
      <c r="BQ16" s="4"/>
      <c r="BR16" s="53"/>
      <c r="BS16" s="53"/>
    </row>
    <row r="17" spans="1:85" ht="15" customHeight="1" x14ac:dyDescent="0.25">
      <c r="A17" s="53"/>
      <c r="B17" s="53"/>
      <c r="C17" s="197" t="s">
        <v>31</v>
      </c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53"/>
      <c r="Y17" s="53"/>
      <c r="Z17" s="197" t="s">
        <v>31</v>
      </c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53"/>
      <c r="AV17" s="53"/>
      <c r="AW17" s="4"/>
      <c r="AX17" s="4"/>
      <c r="AY17" s="4"/>
      <c r="AZ17" s="79"/>
      <c r="BA17" s="79"/>
      <c r="BB17" s="79"/>
      <c r="BC17" s="80"/>
      <c r="BD17" s="80"/>
      <c r="BE17" s="80"/>
      <c r="BF17" s="81"/>
      <c r="BG17" s="81"/>
      <c r="BH17" s="81"/>
      <c r="BI17" s="82"/>
      <c r="BJ17" s="82"/>
      <c r="BK17" s="82"/>
      <c r="BL17" s="83"/>
      <c r="BM17" s="83"/>
      <c r="BN17" s="83"/>
      <c r="BO17" s="4"/>
      <c r="BP17" s="4"/>
      <c r="BQ17" s="4"/>
      <c r="BR17" s="53"/>
      <c r="BS17" s="53"/>
    </row>
    <row r="18" spans="1:85" ht="15" customHeight="1" x14ac:dyDescent="0.25">
      <c r="A18" s="53"/>
      <c r="B18" s="53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53"/>
      <c r="Y18" s="53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53"/>
      <c r="AV18" s="53"/>
      <c r="AW18" s="8"/>
      <c r="AX18" s="8"/>
      <c r="AY18" s="8"/>
      <c r="AZ18" s="79"/>
      <c r="BA18" s="79"/>
      <c r="BB18" s="79"/>
      <c r="BC18" s="80"/>
      <c r="BD18" s="80"/>
      <c r="BE18" s="80"/>
      <c r="BF18" s="81"/>
      <c r="BG18" s="81"/>
      <c r="BH18" s="81"/>
      <c r="BI18" s="82"/>
      <c r="BJ18" s="82"/>
      <c r="BK18" s="82"/>
      <c r="BL18" s="83"/>
      <c r="BM18" s="83"/>
      <c r="BN18" s="83"/>
      <c r="BO18" s="8"/>
      <c r="BP18" s="8"/>
      <c r="BQ18" s="8"/>
      <c r="BR18" s="53"/>
      <c r="BS18" s="53"/>
    </row>
    <row r="19" spans="1:85" ht="15" customHeight="1" x14ac:dyDescent="0.25">
      <c r="A19" s="53"/>
      <c r="B19" s="53"/>
      <c r="C19" s="170" t="s">
        <v>32</v>
      </c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53"/>
      <c r="Y19" s="53"/>
      <c r="Z19" s="170" t="s">
        <v>32</v>
      </c>
      <c r="AA19" s="170"/>
      <c r="AB19" s="170"/>
      <c r="AC19" s="170"/>
      <c r="AD19" s="170"/>
      <c r="AE19" s="170"/>
      <c r="AF19" s="170"/>
      <c r="AG19" s="170"/>
      <c r="AH19" s="170"/>
      <c r="AI19" s="170"/>
      <c r="AJ19" s="170"/>
      <c r="AK19" s="170"/>
      <c r="AL19" s="170"/>
      <c r="AM19" s="170"/>
      <c r="AN19" s="170"/>
      <c r="AO19" s="170"/>
      <c r="AP19" s="170"/>
      <c r="AQ19" s="170"/>
      <c r="AR19" s="170"/>
      <c r="AS19" s="170"/>
      <c r="AT19" s="170"/>
      <c r="AU19" s="53"/>
      <c r="AV19" s="53"/>
      <c r="AW19" s="8"/>
      <c r="AX19" s="8"/>
      <c r="AY19" s="8"/>
      <c r="AZ19" s="79"/>
      <c r="BA19" s="79"/>
      <c r="BB19" s="79"/>
      <c r="BC19" s="80"/>
      <c r="BD19" s="80"/>
      <c r="BE19" s="80"/>
      <c r="BF19" s="81"/>
      <c r="BG19" s="81"/>
      <c r="BH19" s="81"/>
      <c r="BI19" s="82"/>
      <c r="BJ19" s="82"/>
      <c r="BK19" s="82"/>
      <c r="BL19" s="83"/>
      <c r="BM19" s="83"/>
      <c r="BN19" s="83"/>
      <c r="BO19" s="8"/>
      <c r="BP19" s="8"/>
      <c r="BQ19" s="8"/>
      <c r="BR19" s="53"/>
      <c r="BS19" s="53"/>
    </row>
    <row r="20" spans="1:85" ht="15" customHeight="1" x14ac:dyDescent="0.25">
      <c r="A20" s="53"/>
      <c r="B20" s="53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53"/>
      <c r="Y20" s="53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53"/>
      <c r="AV20" s="53"/>
      <c r="AW20" s="6"/>
      <c r="AX20" s="6"/>
      <c r="AY20" s="6"/>
      <c r="AZ20" s="79"/>
      <c r="BA20" s="79"/>
      <c r="BB20" s="79"/>
      <c r="BC20" s="80"/>
      <c r="BD20" s="80"/>
      <c r="BE20" s="80"/>
      <c r="BF20" s="81"/>
      <c r="BG20" s="81"/>
      <c r="BH20" s="81"/>
      <c r="BI20" s="82"/>
      <c r="BJ20" s="82"/>
      <c r="BK20" s="82"/>
      <c r="BL20" s="83"/>
      <c r="BM20" s="83"/>
      <c r="BN20" s="83"/>
      <c r="BO20" s="6"/>
      <c r="BP20" s="6"/>
      <c r="BQ20" s="6"/>
      <c r="BR20" s="53"/>
      <c r="BS20" s="53"/>
    </row>
    <row r="21" spans="1:85" ht="15" customHeight="1" x14ac:dyDescent="0.25">
      <c r="A21" s="53"/>
      <c r="B21" s="53"/>
      <c r="C21" s="187" t="s">
        <v>33</v>
      </c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53"/>
      <c r="Y21" s="53"/>
      <c r="Z21" s="187" t="s">
        <v>33</v>
      </c>
      <c r="AA21" s="187"/>
      <c r="AB21" s="187"/>
      <c r="AC21" s="187"/>
      <c r="AD21" s="187"/>
      <c r="AE21" s="187"/>
      <c r="AF21" s="187"/>
      <c r="AG21" s="187"/>
      <c r="AH21" s="187"/>
      <c r="AI21" s="187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53"/>
      <c r="AV21" s="53"/>
      <c r="AW21" s="4"/>
      <c r="AX21" s="4"/>
      <c r="AY21" s="4"/>
      <c r="AZ21" s="79"/>
      <c r="BA21" s="79"/>
      <c r="BB21" s="79"/>
      <c r="BC21" s="80"/>
      <c r="BD21" s="80"/>
      <c r="BE21" s="80"/>
      <c r="BF21" s="81"/>
      <c r="BG21" s="81"/>
      <c r="BH21" s="81"/>
      <c r="BI21" s="82"/>
      <c r="BJ21" s="82"/>
      <c r="BK21" s="82"/>
      <c r="BL21" s="83"/>
      <c r="BM21" s="83"/>
      <c r="BN21" s="83"/>
      <c r="BO21" s="4"/>
      <c r="BP21" s="4"/>
      <c r="BQ21" s="4"/>
      <c r="BR21" s="53"/>
      <c r="BS21" s="53"/>
    </row>
    <row r="22" spans="1:85" ht="15" customHeight="1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3"/>
      <c r="BR22" s="53"/>
      <c r="BS22" s="53"/>
      <c r="BT22" s="59" t="s">
        <v>41</v>
      </c>
      <c r="BU22" s="198" t="s">
        <v>38</v>
      </c>
      <c r="BV22" s="199"/>
      <c r="BW22" s="199"/>
      <c r="BX22" s="200"/>
      <c r="BY22" s="198" t="s">
        <v>39</v>
      </c>
      <c r="BZ22" s="199"/>
      <c r="CA22" s="199"/>
      <c r="CB22" s="200"/>
      <c r="CC22" s="198" t="s">
        <v>40</v>
      </c>
      <c r="CD22" s="199"/>
      <c r="CE22" s="199"/>
      <c r="CF22" s="200"/>
      <c r="CG22" t="s">
        <v>42</v>
      </c>
    </row>
    <row r="23" spans="1:85" ht="15" customHeight="1" x14ac:dyDescent="0.25">
      <c r="A23" s="53"/>
      <c r="B23" s="53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53"/>
      <c r="Y23" s="53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53"/>
      <c r="AV23" s="53"/>
      <c r="AW23" s="11"/>
      <c r="AX23" s="11"/>
      <c r="AY23" s="11"/>
      <c r="AZ23" s="65"/>
      <c r="BA23" s="65"/>
      <c r="BB23" s="65"/>
      <c r="BC23" s="66"/>
      <c r="BD23" s="66"/>
      <c r="BE23" s="66"/>
      <c r="BF23" s="67"/>
      <c r="BG23" s="67"/>
      <c r="BH23" s="67"/>
      <c r="BI23" s="68"/>
      <c r="BJ23" s="68"/>
      <c r="BK23" s="68"/>
      <c r="BL23" s="64"/>
      <c r="BM23" s="64"/>
      <c r="BN23" s="64"/>
      <c r="BO23" s="11"/>
      <c r="BP23" s="11"/>
      <c r="BQ23" s="11"/>
      <c r="BR23" s="53"/>
      <c r="BS23" s="53"/>
      <c r="BT23" s="60" t="s">
        <v>13</v>
      </c>
      <c r="BU23" s="61" t="str">
        <f ca="1">CELL("address",$C23)</f>
        <v>$C$23</v>
      </c>
      <c r="BV23" s="61" t="str">
        <f ca="1">CELL("address",$W42)</f>
        <v>$W$42</v>
      </c>
      <c r="BW23" s="61" t="b">
        <f ca="1">IF(CELL("contents",INDIRECT($BU23))&lt;&gt;"X",TRUE,FALSE)</f>
        <v>1</v>
      </c>
      <c r="BX23" s="60" t="str">
        <f ca="1">CONCATENATE(BU23,":",BV23)</f>
        <v>$C$23:$W$42</v>
      </c>
      <c r="BY23" s="61" t="str">
        <f ca="1">CELL("address",$Z23)</f>
        <v>$Z$23</v>
      </c>
      <c r="BZ23" s="61" t="str">
        <f ca="1">CELL("address",$AT42)</f>
        <v>$AT$42</v>
      </c>
      <c r="CA23" s="61" t="b">
        <f ca="1">IF(CELL("contents",INDIRECT($BY23))&lt;&gt;"X",TRUE,FALSE)</f>
        <v>1</v>
      </c>
      <c r="CB23" s="60" t="str">
        <f ca="1">CONCATENATE(BY23,":",BZ23)</f>
        <v>$Z$23:$AT$42</v>
      </c>
      <c r="CC23" s="61" t="str">
        <f ca="1">CELL("address",$AW23)</f>
        <v>$AW$23</v>
      </c>
      <c r="CD23" s="61" t="str">
        <f ca="1">CELL("address",$BQ42)</f>
        <v>$BQ$42</v>
      </c>
      <c r="CE23" s="61" t="b">
        <f ca="1">IF(CELL("contents",INDIRECT($CC23))&lt;&gt;"X",TRUE,FALSE)</f>
        <v>1</v>
      </c>
      <c r="CF23" s="60" t="str">
        <f ca="1">CONCATENATE(CC23,":",CD23)</f>
        <v>$AW$23:$BQ$42</v>
      </c>
      <c r="CG23">
        <f ca="1">_xlfn.IFNA(IF($BW:$BW=TRUE,1+MAX($CG$1:CG22),""),"")</f>
        <v>2</v>
      </c>
    </row>
    <row r="24" spans="1:85" ht="15" customHeight="1" x14ac:dyDescent="0.25">
      <c r="A24" s="53"/>
      <c r="B24" s="53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53"/>
      <c r="Y24" s="53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53"/>
      <c r="AV24" s="53"/>
      <c r="AW24" s="11"/>
      <c r="AX24" s="11"/>
      <c r="AY24" s="11"/>
      <c r="AZ24" s="65"/>
      <c r="BA24" s="65"/>
      <c r="BB24" s="65"/>
      <c r="BC24" s="66"/>
      <c r="BD24" s="66"/>
      <c r="BE24" s="66"/>
      <c r="BF24" s="67"/>
      <c r="BG24" s="67"/>
      <c r="BH24" s="67"/>
      <c r="BI24" s="68"/>
      <c r="BJ24" s="68"/>
      <c r="BK24" s="68"/>
      <c r="BL24" s="64"/>
      <c r="BM24" s="64"/>
      <c r="BN24" s="64"/>
      <c r="BO24" s="11"/>
      <c r="BP24" s="11"/>
      <c r="BQ24" s="11"/>
      <c r="BR24" s="53"/>
      <c r="BS24" s="53"/>
      <c r="BU24" s="58"/>
      <c r="BV24" s="58"/>
      <c r="BW24" s="58"/>
      <c r="BX24" s="50"/>
      <c r="BY24" s="58"/>
      <c r="BZ24" s="58"/>
      <c r="CA24" s="58"/>
      <c r="CB24" s="50"/>
      <c r="CC24" s="58"/>
      <c r="CD24" s="58"/>
      <c r="CE24" s="58"/>
    </row>
    <row r="25" spans="1:85" ht="15" customHeight="1" x14ac:dyDescent="0.25">
      <c r="A25" s="53"/>
      <c r="B25" s="53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53"/>
      <c r="Y25" s="53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53"/>
      <c r="AV25" s="53"/>
      <c r="AW25" s="11"/>
      <c r="AX25" s="11"/>
      <c r="AY25" s="11"/>
      <c r="AZ25" s="65"/>
      <c r="BA25" s="65"/>
      <c r="BB25" s="65"/>
      <c r="BC25" s="66"/>
      <c r="BD25" s="66"/>
      <c r="BE25" s="66"/>
      <c r="BF25" s="67"/>
      <c r="BG25" s="67"/>
      <c r="BH25" s="67"/>
      <c r="BI25" s="68"/>
      <c r="BJ25" s="68"/>
      <c r="BK25" s="68"/>
      <c r="BL25" s="64"/>
      <c r="BM25" s="64"/>
      <c r="BN25" s="64"/>
      <c r="BO25" s="11"/>
      <c r="BP25" s="11"/>
      <c r="BQ25" s="11"/>
      <c r="BR25" s="53"/>
      <c r="BS25" s="53"/>
    </row>
    <row r="26" spans="1:85" ht="15" customHeight="1" x14ac:dyDescent="0.25">
      <c r="A26" s="53"/>
      <c r="B26" s="53"/>
      <c r="C26" s="172" t="s">
        <v>36</v>
      </c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  <c r="X26" s="53"/>
      <c r="Y26" s="53"/>
      <c r="Z26" s="172" t="s">
        <v>36</v>
      </c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53"/>
      <c r="AV26" s="53"/>
      <c r="AW26" s="12"/>
      <c r="AX26" s="13"/>
      <c r="AY26" s="13"/>
      <c r="AZ26" s="65"/>
      <c r="BA26" s="65"/>
      <c r="BB26" s="65"/>
      <c r="BC26" s="66"/>
      <c r="BD26" s="66"/>
      <c r="BE26" s="66"/>
      <c r="BF26" s="67"/>
      <c r="BG26" s="67"/>
      <c r="BH26" s="67"/>
      <c r="BI26" s="68"/>
      <c r="BJ26" s="68"/>
      <c r="BK26" s="68"/>
      <c r="BL26" s="64"/>
      <c r="BM26" s="64"/>
      <c r="BN26" s="64"/>
      <c r="BO26" s="13"/>
      <c r="BP26" s="13"/>
      <c r="BQ26" s="13"/>
      <c r="BR26" s="53"/>
      <c r="BS26" s="53"/>
    </row>
    <row r="27" spans="1:85" ht="15" customHeight="1" x14ac:dyDescent="0.25">
      <c r="A27" s="53"/>
      <c r="B27" s="53"/>
      <c r="C27" s="172" t="s">
        <v>35</v>
      </c>
      <c r="D27" s="173"/>
      <c r="E27" s="173"/>
      <c r="F27" s="173"/>
      <c r="G27" s="173"/>
      <c r="H27" s="173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53"/>
      <c r="Y27" s="53"/>
      <c r="Z27" s="172" t="s">
        <v>35</v>
      </c>
      <c r="AA27" s="173"/>
      <c r="AB27" s="173"/>
      <c r="AC27" s="173"/>
      <c r="AD27" s="173"/>
      <c r="AE27" s="173"/>
      <c r="AF27" s="173"/>
      <c r="AG27" s="173"/>
      <c r="AH27" s="173"/>
      <c r="AI27" s="173"/>
      <c r="AJ27" s="173"/>
      <c r="AK27" s="173"/>
      <c r="AL27" s="173"/>
      <c r="AM27" s="173"/>
      <c r="AN27" s="173"/>
      <c r="AO27" s="173"/>
      <c r="AP27" s="173"/>
      <c r="AQ27" s="173"/>
      <c r="AR27" s="173"/>
      <c r="AS27" s="173"/>
      <c r="AT27" s="173"/>
      <c r="AU27" s="53"/>
      <c r="AV27" s="53"/>
      <c r="AW27" s="12"/>
      <c r="AX27" s="13"/>
      <c r="AY27" s="13"/>
      <c r="AZ27" s="65"/>
      <c r="BA27" s="65"/>
      <c r="BB27" s="65"/>
      <c r="BC27" s="66"/>
      <c r="BD27" s="66"/>
      <c r="BE27" s="66"/>
      <c r="BF27" s="67"/>
      <c r="BG27" s="67"/>
      <c r="BH27" s="67"/>
      <c r="BI27" s="68"/>
      <c r="BJ27" s="68"/>
      <c r="BK27" s="68"/>
      <c r="BL27" s="64"/>
      <c r="BM27" s="64"/>
      <c r="BN27" s="64"/>
      <c r="BO27" s="13"/>
      <c r="BP27" s="13"/>
      <c r="BQ27" s="13"/>
      <c r="BR27" s="53"/>
      <c r="BS27" s="53"/>
    </row>
    <row r="28" spans="1:85" ht="15" customHeight="1" x14ac:dyDescent="0.25">
      <c r="A28" s="53"/>
      <c r="B28" s="53"/>
      <c r="C28" s="115" t="s">
        <v>13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53"/>
      <c r="Y28" s="53"/>
      <c r="Z28" s="103" t="s">
        <v>14</v>
      </c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53"/>
      <c r="AV28" s="53"/>
      <c r="AW28" s="14"/>
      <c r="AX28" s="11"/>
      <c r="AY28" s="11"/>
      <c r="AZ28" s="65" t="s">
        <v>3</v>
      </c>
      <c r="BA28" s="65"/>
      <c r="BB28" s="65"/>
      <c r="BC28" s="66" t="s">
        <v>4</v>
      </c>
      <c r="BD28" s="66"/>
      <c r="BE28" s="66"/>
      <c r="BF28" s="67" t="s">
        <v>5</v>
      </c>
      <c r="BG28" s="67"/>
      <c r="BH28" s="67"/>
      <c r="BI28" s="68" t="s">
        <v>6</v>
      </c>
      <c r="BJ28" s="68"/>
      <c r="BK28" s="68"/>
      <c r="BL28" s="64" t="s">
        <v>7</v>
      </c>
      <c r="BM28" s="64"/>
      <c r="BN28" s="64"/>
      <c r="BO28" s="14"/>
      <c r="BP28" s="14"/>
      <c r="BQ28" s="14"/>
      <c r="BR28" s="53"/>
      <c r="BS28" s="53"/>
    </row>
    <row r="29" spans="1:85" ht="15" customHeight="1" x14ac:dyDescent="0.25">
      <c r="A29" s="53"/>
      <c r="B29" s="53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53"/>
      <c r="Y29" s="5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53"/>
      <c r="AV29" s="53"/>
      <c r="AW29" s="14"/>
      <c r="AX29" s="11"/>
      <c r="AY29" s="11"/>
      <c r="AZ29" s="65"/>
      <c r="BA29" s="65"/>
      <c r="BB29" s="65"/>
      <c r="BC29" s="66"/>
      <c r="BD29" s="66"/>
      <c r="BE29" s="66"/>
      <c r="BF29" s="67"/>
      <c r="BG29" s="67"/>
      <c r="BH29" s="67"/>
      <c r="BI29" s="68"/>
      <c r="BJ29" s="68"/>
      <c r="BK29" s="68"/>
      <c r="BL29" s="64"/>
      <c r="BM29" s="64"/>
      <c r="BN29" s="64"/>
      <c r="BO29" s="14"/>
      <c r="BP29" s="14"/>
      <c r="BQ29" s="14"/>
      <c r="BR29" s="53"/>
      <c r="BS29" s="53"/>
    </row>
    <row r="30" spans="1:85" ht="15" customHeight="1" x14ac:dyDescent="0.25">
      <c r="A30" s="53"/>
      <c r="B30" s="53"/>
      <c r="C30" s="9"/>
      <c r="D30" s="9"/>
      <c r="E30" s="9"/>
      <c r="F30" s="9"/>
      <c r="G30" s="9"/>
      <c r="H30" s="174" t="s">
        <v>37</v>
      </c>
      <c r="I30" s="175"/>
      <c r="J30" s="175"/>
      <c r="K30" s="175"/>
      <c r="L30" s="175"/>
      <c r="M30" s="175"/>
      <c r="N30" s="175"/>
      <c r="O30" s="175"/>
      <c r="P30" s="175"/>
      <c r="Q30" s="175"/>
      <c r="R30" s="176"/>
      <c r="S30" s="9"/>
      <c r="T30" s="9"/>
      <c r="U30" s="9"/>
      <c r="V30" s="9"/>
      <c r="W30" s="9"/>
      <c r="X30" s="53"/>
      <c r="Y30" s="53"/>
      <c r="Z30" s="9"/>
      <c r="AA30" s="9"/>
      <c r="AB30" s="9"/>
      <c r="AC30" s="9"/>
      <c r="AD30" s="9"/>
      <c r="AE30" s="174" t="s">
        <v>37</v>
      </c>
      <c r="AF30" s="175"/>
      <c r="AG30" s="175"/>
      <c r="AH30" s="175"/>
      <c r="AI30" s="175"/>
      <c r="AJ30" s="175"/>
      <c r="AK30" s="175"/>
      <c r="AL30" s="175"/>
      <c r="AM30" s="175"/>
      <c r="AN30" s="175"/>
      <c r="AO30" s="176"/>
      <c r="AP30" s="9"/>
      <c r="AQ30" s="9"/>
      <c r="AR30" s="9"/>
      <c r="AS30" s="9"/>
      <c r="AT30" s="9"/>
      <c r="AU30" s="53"/>
      <c r="AV30" s="53"/>
      <c r="AW30" s="11"/>
      <c r="AX30" s="11"/>
      <c r="AY30" s="11"/>
      <c r="AZ30" s="79" t="s">
        <v>8</v>
      </c>
      <c r="BA30" s="79"/>
      <c r="BB30" s="79"/>
      <c r="BC30" s="80" t="s">
        <v>9</v>
      </c>
      <c r="BD30" s="80"/>
      <c r="BE30" s="80"/>
      <c r="BF30" s="81" t="s">
        <v>10</v>
      </c>
      <c r="BG30" s="81"/>
      <c r="BH30" s="81"/>
      <c r="BI30" s="82" t="s">
        <v>11</v>
      </c>
      <c r="BJ30" s="82"/>
      <c r="BK30" s="82"/>
      <c r="BL30" s="83" t="s">
        <v>12</v>
      </c>
      <c r="BM30" s="83"/>
      <c r="BN30" s="83"/>
      <c r="BO30" s="11"/>
      <c r="BP30" s="11"/>
      <c r="BQ30" s="11"/>
      <c r="BR30" s="53"/>
      <c r="BS30" s="53"/>
    </row>
    <row r="31" spans="1:85" ht="15" customHeight="1" x14ac:dyDescent="0.25">
      <c r="A31" s="53"/>
      <c r="B31" s="53"/>
      <c r="C31" s="9"/>
      <c r="D31" s="9"/>
      <c r="E31" s="9"/>
      <c r="F31" s="9"/>
      <c r="G31" s="9"/>
      <c r="H31" s="177"/>
      <c r="I31" s="178"/>
      <c r="J31" s="178"/>
      <c r="K31" s="178"/>
      <c r="L31" s="178"/>
      <c r="M31" s="178"/>
      <c r="N31" s="178"/>
      <c r="O31" s="178"/>
      <c r="P31" s="178"/>
      <c r="Q31" s="178"/>
      <c r="R31" s="179"/>
      <c r="S31" s="9"/>
      <c r="T31" s="9"/>
      <c r="U31" s="9"/>
      <c r="V31" s="9"/>
      <c r="W31" s="9"/>
      <c r="X31" s="53"/>
      <c r="Y31" s="53"/>
      <c r="Z31" s="9"/>
      <c r="AA31" s="9"/>
      <c r="AB31" s="9"/>
      <c r="AC31" s="10"/>
      <c r="AD31" s="10"/>
      <c r="AE31" s="177"/>
      <c r="AF31" s="178"/>
      <c r="AG31" s="178"/>
      <c r="AH31" s="178"/>
      <c r="AI31" s="178"/>
      <c r="AJ31" s="178"/>
      <c r="AK31" s="178"/>
      <c r="AL31" s="178"/>
      <c r="AM31" s="178"/>
      <c r="AN31" s="178"/>
      <c r="AO31" s="179"/>
      <c r="AP31" s="10"/>
      <c r="AQ31" s="10"/>
      <c r="AR31" s="10"/>
      <c r="AS31" s="9"/>
      <c r="AT31" s="9"/>
      <c r="AU31" s="53"/>
      <c r="AV31" s="53"/>
      <c r="AW31" s="11"/>
      <c r="AX31" s="11"/>
      <c r="AY31" s="11"/>
      <c r="AZ31" s="79"/>
      <c r="BA31" s="79"/>
      <c r="BB31" s="79"/>
      <c r="BC31" s="80"/>
      <c r="BD31" s="80"/>
      <c r="BE31" s="80"/>
      <c r="BF31" s="81"/>
      <c r="BG31" s="81"/>
      <c r="BH31" s="81"/>
      <c r="BI31" s="82"/>
      <c r="BJ31" s="82"/>
      <c r="BK31" s="82"/>
      <c r="BL31" s="83"/>
      <c r="BM31" s="83"/>
      <c r="BN31" s="83"/>
      <c r="BO31" s="11"/>
      <c r="BP31" s="11"/>
      <c r="BQ31" s="11"/>
      <c r="BR31" s="53"/>
      <c r="BS31" s="53"/>
    </row>
    <row r="32" spans="1:85" ht="15" customHeight="1" x14ac:dyDescent="0.25">
      <c r="A32" s="53"/>
      <c r="B32" s="53"/>
      <c r="C32" s="9"/>
      <c r="D32" s="9"/>
      <c r="E32" s="9"/>
      <c r="F32" s="9"/>
      <c r="G32" s="9"/>
      <c r="H32" s="177"/>
      <c r="I32" s="178"/>
      <c r="J32" s="178"/>
      <c r="K32" s="178"/>
      <c r="L32" s="178"/>
      <c r="M32" s="178"/>
      <c r="N32" s="178"/>
      <c r="O32" s="178"/>
      <c r="P32" s="178"/>
      <c r="Q32" s="178"/>
      <c r="R32" s="179"/>
      <c r="S32" s="9"/>
      <c r="T32" s="9"/>
      <c r="U32" s="9"/>
      <c r="V32" s="9"/>
      <c r="W32" s="9"/>
      <c r="X32" s="53"/>
      <c r="Y32" s="53"/>
      <c r="Z32" s="9"/>
      <c r="AA32" s="9"/>
      <c r="AB32" s="9"/>
      <c r="AC32" s="9"/>
      <c r="AD32" s="9"/>
      <c r="AE32" s="177"/>
      <c r="AF32" s="178"/>
      <c r="AG32" s="178"/>
      <c r="AH32" s="178"/>
      <c r="AI32" s="178"/>
      <c r="AJ32" s="178"/>
      <c r="AK32" s="178"/>
      <c r="AL32" s="178"/>
      <c r="AM32" s="178"/>
      <c r="AN32" s="178"/>
      <c r="AO32" s="179"/>
      <c r="AP32" s="9"/>
      <c r="AQ32" s="9"/>
      <c r="AR32" s="9"/>
      <c r="AS32" s="9"/>
      <c r="AT32" s="9"/>
      <c r="AU32" s="53"/>
      <c r="AV32" s="53"/>
      <c r="AW32" s="11"/>
      <c r="AX32" s="11"/>
      <c r="AY32" s="11"/>
      <c r="AZ32" s="79"/>
      <c r="BA32" s="79"/>
      <c r="BB32" s="79"/>
      <c r="BC32" s="80"/>
      <c r="BD32" s="80"/>
      <c r="BE32" s="80"/>
      <c r="BF32" s="81"/>
      <c r="BG32" s="81"/>
      <c r="BH32" s="81"/>
      <c r="BI32" s="82"/>
      <c r="BJ32" s="82"/>
      <c r="BK32" s="82"/>
      <c r="BL32" s="83"/>
      <c r="BM32" s="83"/>
      <c r="BN32" s="83"/>
      <c r="BO32" s="11"/>
      <c r="BP32" s="11"/>
      <c r="BQ32" s="11"/>
      <c r="BR32" s="53"/>
      <c r="BS32" s="53"/>
    </row>
    <row r="33" spans="1:85" ht="15" customHeight="1" x14ac:dyDescent="0.25">
      <c r="A33" s="53"/>
      <c r="B33" s="53"/>
      <c r="C33" s="9"/>
      <c r="D33" s="9"/>
      <c r="E33" s="9"/>
      <c r="F33" s="9"/>
      <c r="G33" s="9"/>
      <c r="H33" s="177"/>
      <c r="I33" s="178"/>
      <c r="J33" s="178"/>
      <c r="K33" s="178"/>
      <c r="L33" s="178"/>
      <c r="M33" s="178"/>
      <c r="N33" s="178"/>
      <c r="O33" s="178"/>
      <c r="P33" s="178"/>
      <c r="Q33" s="178"/>
      <c r="R33" s="179"/>
      <c r="S33" s="9"/>
      <c r="T33" s="9"/>
      <c r="U33" s="9"/>
      <c r="V33" s="9"/>
      <c r="W33" s="9"/>
      <c r="X33" s="53"/>
      <c r="Y33" s="53"/>
      <c r="Z33" s="9"/>
      <c r="AA33" s="9"/>
      <c r="AB33" s="9"/>
      <c r="AC33" s="10"/>
      <c r="AD33" s="10"/>
      <c r="AE33" s="177"/>
      <c r="AF33" s="178"/>
      <c r="AG33" s="178"/>
      <c r="AH33" s="178"/>
      <c r="AI33" s="178"/>
      <c r="AJ33" s="178"/>
      <c r="AK33" s="178"/>
      <c r="AL33" s="178"/>
      <c r="AM33" s="178"/>
      <c r="AN33" s="178"/>
      <c r="AO33" s="179"/>
      <c r="AP33" s="10"/>
      <c r="AQ33" s="10"/>
      <c r="AR33" s="10"/>
      <c r="AS33" s="9"/>
      <c r="AT33" s="9"/>
      <c r="AU33" s="53"/>
      <c r="AV33" s="53"/>
      <c r="AW33" s="11"/>
      <c r="AX33" s="11"/>
      <c r="AY33" s="11"/>
      <c r="AZ33" s="79"/>
      <c r="BA33" s="79"/>
      <c r="BB33" s="79"/>
      <c r="BC33" s="80"/>
      <c r="BD33" s="80"/>
      <c r="BE33" s="80"/>
      <c r="BF33" s="81"/>
      <c r="BG33" s="81"/>
      <c r="BH33" s="81"/>
      <c r="BI33" s="82"/>
      <c r="BJ33" s="82"/>
      <c r="BK33" s="82"/>
      <c r="BL33" s="83"/>
      <c r="BM33" s="83"/>
      <c r="BN33" s="83"/>
      <c r="BO33" s="11"/>
      <c r="BP33" s="11"/>
      <c r="BQ33" s="11"/>
      <c r="BR33" s="53"/>
      <c r="BS33" s="53"/>
    </row>
    <row r="34" spans="1:85" ht="15" customHeight="1" x14ac:dyDescent="0.25">
      <c r="A34" s="53"/>
      <c r="B34" s="53"/>
      <c r="C34" s="9"/>
      <c r="D34" s="9"/>
      <c r="E34" s="9"/>
      <c r="F34" s="9"/>
      <c r="G34" s="9"/>
      <c r="H34" s="177"/>
      <c r="I34" s="178"/>
      <c r="J34" s="178"/>
      <c r="K34" s="178"/>
      <c r="L34" s="178"/>
      <c r="M34" s="178"/>
      <c r="N34" s="178"/>
      <c r="O34" s="178"/>
      <c r="P34" s="178"/>
      <c r="Q34" s="178"/>
      <c r="R34" s="179"/>
      <c r="S34" s="9"/>
      <c r="T34" s="9"/>
      <c r="U34" s="9"/>
      <c r="V34" s="9"/>
      <c r="W34" s="9"/>
      <c r="X34" s="53"/>
      <c r="Y34" s="53"/>
      <c r="Z34" s="9"/>
      <c r="AA34" s="9"/>
      <c r="AB34" s="9"/>
      <c r="AC34" s="9"/>
      <c r="AD34" s="9"/>
      <c r="AE34" s="177"/>
      <c r="AF34" s="178"/>
      <c r="AG34" s="178"/>
      <c r="AH34" s="178"/>
      <c r="AI34" s="178"/>
      <c r="AJ34" s="178"/>
      <c r="AK34" s="178"/>
      <c r="AL34" s="178"/>
      <c r="AM34" s="178"/>
      <c r="AN34" s="178"/>
      <c r="AO34" s="179"/>
      <c r="AP34" s="9"/>
      <c r="AQ34" s="9"/>
      <c r="AR34" s="9"/>
      <c r="AS34" s="9"/>
      <c r="AT34" s="9"/>
      <c r="AU34" s="53"/>
      <c r="AV34" s="53"/>
      <c r="AW34" s="11"/>
      <c r="AX34" s="11"/>
      <c r="AY34" s="11"/>
      <c r="AZ34" s="79"/>
      <c r="BA34" s="79"/>
      <c r="BB34" s="79"/>
      <c r="BC34" s="80"/>
      <c r="BD34" s="80"/>
      <c r="BE34" s="80"/>
      <c r="BF34" s="81"/>
      <c r="BG34" s="81"/>
      <c r="BH34" s="81"/>
      <c r="BI34" s="82"/>
      <c r="BJ34" s="82"/>
      <c r="BK34" s="82"/>
      <c r="BL34" s="83"/>
      <c r="BM34" s="83"/>
      <c r="BN34" s="83"/>
      <c r="BO34" s="11"/>
      <c r="BP34" s="11"/>
      <c r="BQ34" s="11"/>
      <c r="BR34" s="53"/>
      <c r="BS34" s="53"/>
    </row>
    <row r="35" spans="1:85" ht="15" customHeight="1" x14ac:dyDescent="0.25">
      <c r="A35" s="53"/>
      <c r="B35" s="53"/>
      <c r="C35" s="9"/>
      <c r="D35" s="9"/>
      <c r="E35" s="9"/>
      <c r="F35" s="9"/>
      <c r="G35" s="9"/>
      <c r="H35" s="177"/>
      <c r="I35" s="178"/>
      <c r="J35" s="178"/>
      <c r="K35" s="178"/>
      <c r="L35" s="178"/>
      <c r="M35" s="178"/>
      <c r="N35" s="178"/>
      <c r="O35" s="178"/>
      <c r="P35" s="178"/>
      <c r="Q35" s="178"/>
      <c r="R35" s="179"/>
      <c r="S35" s="9"/>
      <c r="T35" s="9"/>
      <c r="U35" s="9"/>
      <c r="V35" s="9"/>
      <c r="W35" s="9"/>
      <c r="X35" s="53"/>
      <c r="Y35" s="53"/>
      <c r="Z35" s="9"/>
      <c r="AA35" s="9"/>
      <c r="AB35" s="9"/>
      <c r="AC35" s="10"/>
      <c r="AD35" s="10"/>
      <c r="AE35" s="177"/>
      <c r="AF35" s="178"/>
      <c r="AG35" s="178"/>
      <c r="AH35" s="178"/>
      <c r="AI35" s="178"/>
      <c r="AJ35" s="178"/>
      <c r="AK35" s="178"/>
      <c r="AL35" s="178"/>
      <c r="AM35" s="178"/>
      <c r="AN35" s="178"/>
      <c r="AO35" s="179"/>
      <c r="AP35" s="10"/>
      <c r="AQ35" s="10"/>
      <c r="AR35" s="10"/>
      <c r="AS35" s="9"/>
      <c r="AT35" s="9"/>
      <c r="AU35" s="53"/>
      <c r="AV35" s="53"/>
      <c r="AW35" s="11"/>
      <c r="AX35" s="11"/>
      <c r="AY35" s="11"/>
      <c r="AZ35" s="79"/>
      <c r="BA35" s="79"/>
      <c r="BB35" s="79"/>
      <c r="BC35" s="80"/>
      <c r="BD35" s="80"/>
      <c r="BE35" s="80"/>
      <c r="BF35" s="81"/>
      <c r="BG35" s="81"/>
      <c r="BH35" s="81"/>
      <c r="BI35" s="82"/>
      <c r="BJ35" s="82"/>
      <c r="BK35" s="82"/>
      <c r="BL35" s="83"/>
      <c r="BM35" s="83"/>
      <c r="BN35" s="83"/>
      <c r="BO35" s="11"/>
      <c r="BP35" s="11"/>
      <c r="BQ35" s="11"/>
      <c r="BR35" s="53"/>
      <c r="BS35" s="53"/>
    </row>
    <row r="36" spans="1:85" ht="15" customHeight="1" x14ac:dyDescent="0.25">
      <c r="A36" s="53"/>
      <c r="B36" s="53"/>
      <c r="C36" s="9"/>
      <c r="D36" s="9"/>
      <c r="E36" s="9"/>
      <c r="F36" s="9"/>
      <c r="G36" s="9"/>
      <c r="H36" s="177"/>
      <c r="I36" s="178"/>
      <c r="J36" s="178"/>
      <c r="K36" s="178"/>
      <c r="L36" s="178"/>
      <c r="M36" s="178"/>
      <c r="N36" s="178"/>
      <c r="O36" s="178"/>
      <c r="P36" s="178"/>
      <c r="Q36" s="178"/>
      <c r="R36" s="179"/>
      <c r="S36" s="9"/>
      <c r="T36" s="9"/>
      <c r="U36" s="9"/>
      <c r="V36" s="9"/>
      <c r="W36" s="9"/>
      <c r="X36" s="53"/>
      <c r="Y36" s="53"/>
      <c r="Z36" s="9"/>
      <c r="AA36" s="9"/>
      <c r="AB36" s="9"/>
      <c r="AC36" s="9"/>
      <c r="AD36" s="9"/>
      <c r="AE36" s="177"/>
      <c r="AF36" s="178"/>
      <c r="AG36" s="178"/>
      <c r="AH36" s="178"/>
      <c r="AI36" s="178"/>
      <c r="AJ36" s="178"/>
      <c r="AK36" s="178"/>
      <c r="AL36" s="178"/>
      <c r="AM36" s="178"/>
      <c r="AN36" s="178"/>
      <c r="AO36" s="179"/>
      <c r="AP36" s="9"/>
      <c r="AQ36" s="9"/>
      <c r="AR36" s="9"/>
      <c r="AS36" s="9"/>
      <c r="AT36" s="9"/>
      <c r="AU36" s="53"/>
      <c r="AV36" s="53"/>
      <c r="AW36" s="11"/>
      <c r="AX36" s="11"/>
      <c r="AY36" s="11"/>
      <c r="AZ36" s="79"/>
      <c r="BA36" s="79"/>
      <c r="BB36" s="79"/>
      <c r="BC36" s="80"/>
      <c r="BD36" s="80"/>
      <c r="BE36" s="80"/>
      <c r="BF36" s="81"/>
      <c r="BG36" s="81"/>
      <c r="BH36" s="81"/>
      <c r="BI36" s="82"/>
      <c r="BJ36" s="82"/>
      <c r="BK36" s="82"/>
      <c r="BL36" s="83"/>
      <c r="BM36" s="83"/>
      <c r="BN36" s="83"/>
      <c r="BO36" s="11"/>
      <c r="BP36" s="11"/>
      <c r="BQ36" s="11"/>
      <c r="BR36" s="53"/>
      <c r="BS36" s="53"/>
    </row>
    <row r="37" spans="1:85" ht="15" customHeight="1" x14ac:dyDescent="0.25">
      <c r="A37" s="53"/>
      <c r="B37" s="53"/>
      <c r="C37" s="9"/>
      <c r="D37" s="9"/>
      <c r="E37" s="9"/>
      <c r="F37" s="9"/>
      <c r="G37" s="9"/>
      <c r="H37" s="180"/>
      <c r="I37" s="181"/>
      <c r="J37" s="181"/>
      <c r="K37" s="181"/>
      <c r="L37" s="181"/>
      <c r="M37" s="181"/>
      <c r="N37" s="181"/>
      <c r="O37" s="181"/>
      <c r="P37" s="181"/>
      <c r="Q37" s="181"/>
      <c r="R37" s="182"/>
      <c r="S37" s="9"/>
      <c r="T37" s="9"/>
      <c r="U37" s="9"/>
      <c r="V37" s="9"/>
      <c r="W37" s="9"/>
      <c r="X37" s="53"/>
      <c r="Y37" s="53"/>
      <c r="Z37" s="9"/>
      <c r="AA37" s="9"/>
      <c r="AB37" s="9"/>
      <c r="AC37" s="10"/>
      <c r="AD37" s="10"/>
      <c r="AE37" s="180"/>
      <c r="AF37" s="181"/>
      <c r="AG37" s="181"/>
      <c r="AH37" s="181"/>
      <c r="AI37" s="181"/>
      <c r="AJ37" s="181"/>
      <c r="AK37" s="181"/>
      <c r="AL37" s="181"/>
      <c r="AM37" s="181"/>
      <c r="AN37" s="181"/>
      <c r="AO37" s="182"/>
      <c r="AP37" s="10"/>
      <c r="AQ37" s="10"/>
      <c r="AR37" s="10"/>
      <c r="AS37" s="9"/>
      <c r="AT37" s="9"/>
      <c r="AU37" s="53"/>
      <c r="AV37" s="53"/>
      <c r="AW37" s="11"/>
      <c r="AX37" s="11"/>
      <c r="AY37" s="11"/>
      <c r="AZ37" s="79"/>
      <c r="BA37" s="79"/>
      <c r="BB37" s="79"/>
      <c r="BC37" s="80"/>
      <c r="BD37" s="80"/>
      <c r="BE37" s="80"/>
      <c r="BF37" s="81"/>
      <c r="BG37" s="81"/>
      <c r="BH37" s="81"/>
      <c r="BI37" s="82"/>
      <c r="BJ37" s="82"/>
      <c r="BK37" s="82"/>
      <c r="BL37" s="83"/>
      <c r="BM37" s="83"/>
      <c r="BN37" s="83"/>
      <c r="BO37" s="11"/>
      <c r="BP37" s="11"/>
      <c r="BQ37" s="11"/>
      <c r="BR37" s="53"/>
      <c r="BS37" s="53"/>
    </row>
    <row r="38" spans="1:85" ht="15" customHeight="1" x14ac:dyDescent="0.25">
      <c r="A38" s="53"/>
      <c r="B38" s="53"/>
      <c r="C38" s="183" t="s">
        <v>31</v>
      </c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53"/>
      <c r="Y38" s="53"/>
      <c r="Z38" s="183" t="s">
        <v>31</v>
      </c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53"/>
      <c r="AV38" s="53"/>
      <c r="AW38" s="11"/>
      <c r="AX38" s="11"/>
      <c r="AY38" s="11"/>
      <c r="AZ38" s="79"/>
      <c r="BA38" s="79"/>
      <c r="BB38" s="79"/>
      <c r="BC38" s="80"/>
      <c r="BD38" s="80"/>
      <c r="BE38" s="80"/>
      <c r="BF38" s="81"/>
      <c r="BG38" s="81"/>
      <c r="BH38" s="81"/>
      <c r="BI38" s="82"/>
      <c r="BJ38" s="82"/>
      <c r="BK38" s="82"/>
      <c r="BL38" s="83"/>
      <c r="BM38" s="83"/>
      <c r="BN38" s="83"/>
      <c r="BO38" s="11"/>
      <c r="BP38" s="11"/>
      <c r="BQ38" s="11"/>
      <c r="BR38" s="53"/>
      <c r="BS38" s="53"/>
    </row>
    <row r="39" spans="1:85" ht="15" customHeight="1" x14ac:dyDescent="0.25">
      <c r="A39" s="53"/>
      <c r="B39" s="5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53"/>
      <c r="Y39" s="5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53"/>
      <c r="AV39" s="53"/>
      <c r="AW39" s="15"/>
      <c r="AX39" s="15"/>
      <c r="AY39" s="15"/>
      <c r="AZ39" s="79"/>
      <c r="BA39" s="79"/>
      <c r="BB39" s="79"/>
      <c r="BC39" s="80"/>
      <c r="BD39" s="80"/>
      <c r="BE39" s="80"/>
      <c r="BF39" s="81"/>
      <c r="BG39" s="81"/>
      <c r="BH39" s="81"/>
      <c r="BI39" s="82"/>
      <c r="BJ39" s="82"/>
      <c r="BK39" s="82"/>
      <c r="BL39" s="83"/>
      <c r="BM39" s="83"/>
      <c r="BN39" s="83"/>
      <c r="BO39" s="15"/>
      <c r="BP39" s="15"/>
      <c r="BQ39" s="15"/>
      <c r="BR39" s="53"/>
      <c r="BS39" s="53"/>
    </row>
    <row r="40" spans="1:85" ht="15" customHeight="1" x14ac:dyDescent="0.25">
      <c r="A40" s="53"/>
      <c r="B40" s="53"/>
      <c r="C40" s="184" t="s">
        <v>32</v>
      </c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53"/>
      <c r="Y40" s="53"/>
      <c r="Z40" s="184" t="s">
        <v>32</v>
      </c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53"/>
      <c r="AV40" s="53"/>
      <c r="AW40" s="15"/>
      <c r="AX40" s="15"/>
      <c r="AY40" s="15"/>
      <c r="AZ40" s="79"/>
      <c r="BA40" s="79"/>
      <c r="BB40" s="79"/>
      <c r="BC40" s="80"/>
      <c r="BD40" s="80"/>
      <c r="BE40" s="80"/>
      <c r="BF40" s="81"/>
      <c r="BG40" s="81"/>
      <c r="BH40" s="81"/>
      <c r="BI40" s="82"/>
      <c r="BJ40" s="82"/>
      <c r="BK40" s="82"/>
      <c r="BL40" s="83"/>
      <c r="BM40" s="83"/>
      <c r="BN40" s="83"/>
      <c r="BO40" s="15"/>
      <c r="BP40" s="15"/>
      <c r="BQ40" s="15"/>
      <c r="BR40" s="53"/>
      <c r="BS40" s="53"/>
    </row>
    <row r="41" spans="1:85" ht="15" customHeight="1" x14ac:dyDescent="0.25">
      <c r="A41" s="53"/>
      <c r="B41" s="53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53"/>
      <c r="Y41" s="53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53"/>
      <c r="AV41" s="53"/>
      <c r="AW41" s="13"/>
      <c r="AX41" s="13"/>
      <c r="AY41" s="13"/>
      <c r="AZ41" s="79"/>
      <c r="BA41" s="79"/>
      <c r="BB41" s="79"/>
      <c r="BC41" s="80"/>
      <c r="BD41" s="80"/>
      <c r="BE41" s="80"/>
      <c r="BF41" s="81"/>
      <c r="BG41" s="81"/>
      <c r="BH41" s="81"/>
      <c r="BI41" s="82"/>
      <c r="BJ41" s="82"/>
      <c r="BK41" s="82"/>
      <c r="BL41" s="83"/>
      <c r="BM41" s="83"/>
      <c r="BN41" s="83"/>
      <c r="BO41" s="13"/>
      <c r="BP41" s="13"/>
      <c r="BQ41" s="13"/>
      <c r="BR41" s="53"/>
      <c r="BS41" s="53"/>
    </row>
    <row r="42" spans="1:85" ht="15" customHeight="1" x14ac:dyDescent="0.25">
      <c r="A42" s="53"/>
      <c r="B42" s="53"/>
      <c r="C42" s="91" t="s">
        <v>33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  <c r="Y42" s="53"/>
      <c r="Z42" s="91" t="s">
        <v>33</v>
      </c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53"/>
      <c r="AV42" s="53"/>
      <c r="AW42" s="11"/>
      <c r="AX42" s="11"/>
      <c r="AY42" s="11"/>
      <c r="AZ42" s="79"/>
      <c r="BA42" s="79"/>
      <c r="BB42" s="79"/>
      <c r="BC42" s="80"/>
      <c r="BD42" s="80"/>
      <c r="BE42" s="80"/>
      <c r="BF42" s="81"/>
      <c r="BG42" s="81"/>
      <c r="BH42" s="81"/>
      <c r="BI42" s="82"/>
      <c r="BJ42" s="82"/>
      <c r="BK42" s="82"/>
      <c r="BL42" s="83"/>
      <c r="BM42" s="83"/>
      <c r="BN42" s="83"/>
      <c r="BO42" s="11"/>
      <c r="BP42" s="11"/>
      <c r="BQ42" s="11"/>
      <c r="BR42" s="53"/>
      <c r="BS42" s="53"/>
    </row>
    <row r="43" spans="1:85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3"/>
      <c r="BR43" s="53"/>
      <c r="BS43" s="53"/>
      <c r="BT43" s="59" t="s">
        <v>41</v>
      </c>
      <c r="BU43" s="198" t="s">
        <v>38</v>
      </c>
      <c r="BV43" s="199"/>
      <c r="BW43" s="199"/>
      <c r="BX43" s="200"/>
      <c r="BY43" s="198" t="s">
        <v>39</v>
      </c>
      <c r="BZ43" s="199"/>
      <c r="CA43" s="199"/>
      <c r="CB43" s="200"/>
      <c r="CC43" s="198" t="s">
        <v>40</v>
      </c>
      <c r="CD43" s="199"/>
      <c r="CE43" s="199"/>
      <c r="CF43" s="200"/>
      <c r="CG43" t="s">
        <v>42</v>
      </c>
    </row>
    <row r="44" spans="1:85" ht="15" customHeight="1" x14ac:dyDescent="0.25">
      <c r="A44" s="53"/>
      <c r="B44" s="53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53"/>
      <c r="Y44" s="53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53"/>
      <c r="AV44" s="53"/>
      <c r="AW44" s="16"/>
      <c r="AX44" s="16"/>
      <c r="AY44" s="16"/>
      <c r="AZ44" s="65"/>
      <c r="BA44" s="65"/>
      <c r="BB44" s="65"/>
      <c r="BC44" s="66"/>
      <c r="BD44" s="66"/>
      <c r="BE44" s="66"/>
      <c r="BF44" s="67"/>
      <c r="BG44" s="67"/>
      <c r="BH44" s="67"/>
      <c r="BI44" s="68"/>
      <c r="BJ44" s="68"/>
      <c r="BK44" s="68"/>
      <c r="BL44" s="64"/>
      <c r="BM44" s="64"/>
      <c r="BN44" s="64"/>
      <c r="BO44" s="16"/>
      <c r="BP44" s="16"/>
      <c r="BQ44" s="16"/>
      <c r="BR44" s="53"/>
      <c r="BS44" s="53"/>
      <c r="BT44" s="60" t="s">
        <v>16</v>
      </c>
      <c r="BU44" s="61" t="str">
        <f ca="1">CELL("address",$C44)</f>
        <v>$C$44</v>
      </c>
      <c r="BV44" s="61" t="str">
        <f ca="1">CELL("address",$W63)</f>
        <v>$W$63</v>
      </c>
      <c r="BW44" s="61" t="b">
        <f ca="1">IF(CELL("contents",INDIRECT($BU44))&lt;&gt;"X",TRUE,FALSE)</f>
        <v>1</v>
      </c>
      <c r="BX44" s="60" t="str">
        <f ca="1">CONCATENATE(BU44,":",BV44)</f>
        <v>$C$44:$W$63</v>
      </c>
      <c r="BY44" s="61" t="str">
        <f ca="1">CELL("address",$Z44)</f>
        <v>$Z$44</v>
      </c>
      <c r="BZ44" s="61" t="str">
        <f ca="1">CELL("address",$AT63)</f>
        <v>$AT$63</v>
      </c>
      <c r="CA44" s="61" t="b">
        <f ca="1">IF(CELL("contents",INDIRECT($BY44))&lt;&gt;"X",TRUE,FALSE)</f>
        <v>1</v>
      </c>
      <c r="CB44" s="60" t="str">
        <f ca="1">CONCATENATE(BY44,":",BZ44)</f>
        <v>$Z$44:$AT$63</v>
      </c>
      <c r="CC44" s="61" t="str">
        <f ca="1">CELL("address",$AW44)</f>
        <v>$AW$44</v>
      </c>
      <c r="CD44" s="61" t="str">
        <f ca="1">CELL("address",$BQ63)</f>
        <v>$BQ$63</v>
      </c>
      <c r="CE44" s="61" t="b">
        <f ca="1">IF(CELL("contents",INDIRECT($CC44))&lt;&gt;"X",TRUE,FALSE)</f>
        <v>1</v>
      </c>
      <c r="CF44" s="60" t="str">
        <f ca="1">CONCATENATE(CC44,":",CD44)</f>
        <v>$AW$44:$BQ$63</v>
      </c>
      <c r="CG44">
        <f ca="1">_xlfn.IFNA(IF($BW:$BW=TRUE,1+MAX($CG$1:CG43),""),"")</f>
        <v>3</v>
      </c>
    </row>
    <row r="45" spans="1:85" ht="15" customHeight="1" x14ac:dyDescent="0.25">
      <c r="A45" s="53"/>
      <c r="B45" s="53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53"/>
      <c r="Y45" s="53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53"/>
      <c r="AV45" s="53"/>
      <c r="AW45" s="16"/>
      <c r="AX45" s="16"/>
      <c r="AY45" s="16"/>
      <c r="AZ45" s="65"/>
      <c r="BA45" s="65"/>
      <c r="BB45" s="65"/>
      <c r="BC45" s="66"/>
      <c r="BD45" s="66"/>
      <c r="BE45" s="66"/>
      <c r="BF45" s="67"/>
      <c r="BG45" s="67"/>
      <c r="BH45" s="67"/>
      <c r="BI45" s="68"/>
      <c r="BJ45" s="68"/>
      <c r="BK45" s="68"/>
      <c r="BL45" s="64"/>
      <c r="BM45" s="64"/>
      <c r="BN45" s="64"/>
      <c r="BO45" s="16"/>
      <c r="BP45" s="16"/>
      <c r="BQ45" s="16"/>
      <c r="BR45" s="53"/>
      <c r="BS45" s="53"/>
      <c r="BU45" s="58"/>
      <c r="BV45" s="58"/>
      <c r="BW45" s="58"/>
      <c r="BX45" s="50"/>
      <c r="BY45" s="58"/>
      <c r="BZ45" s="58"/>
      <c r="CA45" s="58"/>
      <c r="CB45" s="50"/>
      <c r="CC45" s="58"/>
      <c r="CD45" s="58"/>
      <c r="CE45" s="58"/>
    </row>
    <row r="46" spans="1:85" ht="15" customHeight="1" x14ac:dyDescent="0.25">
      <c r="A46" s="53"/>
      <c r="B46" s="53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53"/>
      <c r="Y46" s="53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53"/>
      <c r="AV46" s="53"/>
      <c r="AW46" s="16"/>
      <c r="AX46" s="16"/>
      <c r="AY46" s="16"/>
      <c r="AZ46" s="65"/>
      <c r="BA46" s="65"/>
      <c r="BB46" s="65"/>
      <c r="BC46" s="66"/>
      <c r="BD46" s="66"/>
      <c r="BE46" s="66"/>
      <c r="BF46" s="67"/>
      <c r="BG46" s="67"/>
      <c r="BH46" s="67"/>
      <c r="BI46" s="68"/>
      <c r="BJ46" s="68"/>
      <c r="BK46" s="68"/>
      <c r="BL46" s="64"/>
      <c r="BM46" s="64"/>
      <c r="BN46" s="64"/>
      <c r="BO46" s="16"/>
      <c r="BP46" s="16"/>
      <c r="BQ46" s="16"/>
      <c r="BR46" s="53"/>
      <c r="BS46" s="53"/>
    </row>
    <row r="47" spans="1:85" ht="15" customHeight="1" x14ac:dyDescent="0.25">
      <c r="A47" s="53"/>
      <c r="B47" s="53"/>
      <c r="C47" s="104" t="s">
        <v>36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53"/>
      <c r="Y47" s="53"/>
      <c r="Z47" s="104" t="s">
        <v>36</v>
      </c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AT47" s="105"/>
      <c r="AU47" s="53"/>
      <c r="AV47" s="53"/>
      <c r="AW47" s="17"/>
      <c r="AX47" s="18"/>
      <c r="AY47" s="18"/>
      <c r="AZ47" s="65"/>
      <c r="BA47" s="65"/>
      <c r="BB47" s="65"/>
      <c r="BC47" s="66"/>
      <c r="BD47" s="66"/>
      <c r="BE47" s="66"/>
      <c r="BF47" s="67"/>
      <c r="BG47" s="67"/>
      <c r="BH47" s="67"/>
      <c r="BI47" s="68"/>
      <c r="BJ47" s="68"/>
      <c r="BK47" s="68"/>
      <c r="BL47" s="64"/>
      <c r="BM47" s="64"/>
      <c r="BN47" s="64"/>
      <c r="BO47" s="18"/>
      <c r="BP47" s="18"/>
      <c r="BQ47" s="18"/>
      <c r="BR47" s="53"/>
      <c r="BS47" s="53"/>
    </row>
    <row r="48" spans="1:85" ht="15" customHeight="1" x14ac:dyDescent="0.25">
      <c r="A48" s="53"/>
      <c r="B48" s="53"/>
      <c r="C48" s="104" t="s">
        <v>35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53"/>
      <c r="Y48" s="53"/>
      <c r="Z48" s="104" t="s">
        <v>35</v>
      </c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AT48" s="105"/>
      <c r="AU48" s="53"/>
      <c r="AV48" s="53"/>
      <c r="AW48" s="17"/>
      <c r="AX48" s="18"/>
      <c r="AY48" s="18"/>
      <c r="AZ48" s="65"/>
      <c r="BA48" s="65"/>
      <c r="BB48" s="65"/>
      <c r="BC48" s="66"/>
      <c r="BD48" s="66"/>
      <c r="BE48" s="66"/>
      <c r="BF48" s="67"/>
      <c r="BG48" s="67"/>
      <c r="BH48" s="67"/>
      <c r="BI48" s="68"/>
      <c r="BJ48" s="68"/>
      <c r="BK48" s="68"/>
      <c r="BL48" s="64"/>
      <c r="BM48" s="64"/>
      <c r="BN48" s="64"/>
      <c r="BO48" s="18"/>
      <c r="BP48" s="18"/>
      <c r="BQ48" s="18"/>
      <c r="BR48" s="53"/>
      <c r="BS48" s="53"/>
    </row>
    <row r="49" spans="1:85" ht="15" customHeight="1" x14ac:dyDescent="0.25">
      <c r="A49" s="53"/>
      <c r="B49" s="53"/>
      <c r="C49" s="115" t="s">
        <v>16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53"/>
      <c r="Y49" s="53"/>
      <c r="Z49" s="103" t="s">
        <v>15</v>
      </c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53"/>
      <c r="AV49" s="53"/>
      <c r="AW49" s="19"/>
      <c r="AX49" s="16"/>
      <c r="AY49" s="16"/>
      <c r="AZ49" s="65" t="s">
        <v>3</v>
      </c>
      <c r="BA49" s="65"/>
      <c r="BB49" s="65"/>
      <c r="BC49" s="66" t="s">
        <v>4</v>
      </c>
      <c r="BD49" s="66"/>
      <c r="BE49" s="66"/>
      <c r="BF49" s="67" t="s">
        <v>5</v>
      </c>
      <c r="BG49" s="67"/>
      <c r="BH49" s="67"/>
      <c r="BI49" s="68" t="s">
        <v>6</v>
      </c>
      <c r="BJ49" s="68"/>
      <c r="BK49" s="68"/>
      <c r="BL49" s="64" t="s">
        <v>7</v>
      </c>
      <c r="BM49" s="64"/>
      <c r="BN49" s="64"/>
      <c r="BO49" s="19"/>
      <c r="BP49" s="19"/>
      <c r="BQ49" s="19"/>
      <c r="BR49" s="53"/>
      <c r="BS49" s="53"/>
    </row>
    <row r="50" spans="1:85" ht="15" customHeight="1" x14ac:dyDescent="0.25">
      <c r="A50" s="53"/>
      <c r="B50" s="53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53"/>
      <c r="Y50" s="5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53"/>
      <c r="AV50" s="53"/>
      <c r="AW50" s="19"/>
      <c r="AX50" s="16"/>
      <c r="AY50" s="16"/>
      <c r="AZ50" s="65"/>
      <c r="BA50" s="65"/>
      <c r="BB50" s="65"/>
      <c r="BC50" s="66"/>
      <c r="BD50" s="66"/>
      <c r="BE50" s="66"/>
      <c r="BF50" s="67"/>
      <c r="BG50" s="67"/>
      <c r="BH50" s="67"/>
      <c r="BI50" s="68"/>
      <c r="BJ50" s="68"/>
      <c r="BK50" s="68"/>
      <c r="BL50" s="64"/>
      <c r="BM50" s="64"/>
      <c r="BN50" s="64"/>
      <c r="BO50" s="19"/>
      <c r="BP50" s="19"/>
      <c r="BQ50" s="19"/>
      <c r="BR50" s="53"/>
      <c r="BS50" s="53"/>
    </row>
    <row r="51" spans="1:85" ht="15" customHeight="1" x14ac:dyDescent="0.25">
      <c r="A51" s="53"/>
      <c r="B51" s="53"/>
      <c r="C51" s="21"/>
      <c r="D51" s="21"/>
      <c r="E51" s="21"/>
      <c r="F51" s="21"/>
      <c r="G51" s="21"/>
      <c r="H51" s="106" t="s">
        <v>37</v>
      </c>
      <c r="I51" s="107"/>
      <c r="J51" s="107"/>
      <c r="K51" s="107"/>
      <c r="L51" s="107"/>
      <c r="M51" s="107"/>
      <c r="N51" s="107"/>
      <c r="O51" s="107"/>
      <c r="P51" s="107"/>
      <c r="Q51" s="107"/>
      <c r="R51" s="108"/>
      <c r="S51" s="21"/>
      <c r="T51" s="21"/>
      <c r="U51" s="21"/>
      <c r="V51" s="21"/>
      <c r="W51" s="21"/>
      <c r="X51" s="53"/>
      <c r="Y51" s="53"/>
      <c r="Z51" s="21"/>
      <c r="AA51" s="21"/>
      <c r="AB51" s="21"/>
      <c r="AC51" s="21"/>
      <c r="AD51" s="21"/>
      <c r="AE51" s="106" t="s">
        <v>37</v>
      </c>
      <c r="AF51" s="107"/>
      <c r="AG51" s="107"/>
      <c r="AH51" s="107"/>
      <c r="AI51" s="107"/>
      <c r="AJ51" s="107"/>
      <c r="AK51" s="107"/>
      <c r="AL51" s="107"/>
      <c r="AM51" s="107"/>
      <c r="AN51" s="107"/>
      <c r="AO51" s="108"/>
      <c r="AP51" s="21"/>
      <c r="AQ51" s="21"/>
      <c r="AR51" s="21"/>
      <c r="AS51" s="21"/>
      <c r="AT51" s="21"/>
      <c r="AU51" s="53"/>
      <c r="AV51" s="53"/>
      <c r="AW51" s="16"/>
      <c r="AX51" s="16"/>
      <c r="AY51" s="16"/>
      <c r="AZ51" s="79" t="s">
        <v>8</v>
      </c>
      <c r="BA51" s="79"/>
      <c r="BB51" s="79"/>
      <c r="BC51" s="80" t="s">
        <v>9</v>
      </c>
      <c r="BD51" s="80"/>
      <c r="BE51" s="80"/>
      <c r="BF51" s="81" t="s">
        <v>10</v>
      </c>
      <c r="BG51" s="81"/>
      <c r="BH51" s="81"/>
      <c r="BI51" s="82" t="s">
        <v>11</v>
      </c>
      <c r="BJ51" s="82"/>
      <c r="BK51" s="82"/>
      <c r="BL51" s="83" t="s">
        <v>12</v>
      </c>
      <c r="BM51" s="83"/>
      <c r="BN51" s="83"/>
      <c r="BO51" s="16"/>
      <c r="BP51" s="16"/>
      <c r="BQ51" s="16"/>
      <c r="BR51" s="53"/>
      <c r="BS51" s="53"/>
    </row>
    <row r="52" spans="1:85" ht="15" customHeight="1" x14ac:dyDescent="0.25">
      <c r="A52" s="53"/>
      <c r="B52" s="53"/>
      <c r="C52" s="21"/>
      <c r="D52" s="21"/>
      <c r="E52" s="21"/>
      <c r="F52" s="21"/>
      <c r="G52" s="21"/>
      <c r="H52" s="109"/>
      <c r="I52" s="110"/>
      <c r="J52" s="110"/>
      <c r="K52" s="110"/>
      <c r="L52" s="110"/>
      <c r="M52" s="110"/>
      <c r="N52" s="110"/>
      <c r="O52" s="110"/>
      <c r="P52" s="110"/>
      <c r="Q52" s="110"/>
      <c r="R52" s="111"/>
      <c r="S52" s="21"/>
      <c r="T52" s="21"/>
      <c r="U52" s="21"/>
      <c r="V52" s="21"/>
      <c r="W52" s="21"/>
      <c r="X52" s="53"/>
      <c r="Y52" s="53"/>
      <c r="Z52" s="21"/>
      <c r="AA52" s="21"/>
      <c r="AB52" s="21"/>
      <c r="AC52" s="21"/>
      <c r="AD52" s="21"/>
      <c r="AE52" s="109"/>
      <c r="AF52" s="110"/>
      <c r="AG52" s="110"/>
      <c r="AH52" s="110"/>
      <c r="AI52" s="110"/>
      <c r="AJ52" s="110"/>
      <c r="AK52" s="110"/>
      <c r="AL52" s="110"/>
      <c r="AM52" s="110"/>
      <c r="AN52" s="110"/>
      <c r="AO52" s="111"/>
      <c r="AP52" s="21"/>
      <c r="AQ52" s="21"/>
      <c r="AR52" s="21"/>
      <c r="AS52" s="21"/>
      <c r="AT52" s="21"/>
      <c r="AU52" s="53"/>
      <c r="AV52" s="53"/>
      <c r="AW52" s="16"/>
      <c r="AX52" s="16"/>
      <c r="AY52" s="16"/>
      <c r="AZ52" s="79"/>
      <c r="BA52" s="79"/>
      <c r="BB52" s="79"/>
      <c r="BC52" s="80"/>
      <c r="BD52" s="80"/>
      <c r="BE52" s="80"/>
      <c r="BF52" s="81"/>
      <c r="BG52" s="81"/>
      <c r="BH52" s="81"/>
      <c r="BI52" s="82"/>
      <c r="BJ52" s="82"/>
      <c r="BK52" s="82"/>
      <c r="BL52" s="83"/>
      <c r="BM52" s="83"/>
      <c r="BN52" s="83"/>
      <c r="BO52" s="16"/>
      <c r="BP52" s="16"/>
      <c r="BQ52" s="16"/>
      <c r="BR52" s="53"/>
      <c r="BS52" s="53"/>
    </row>
    <row r="53" spans="1:85" ht="15" customHeight="1" x14ac:dyDescent="0.25">
      <c r="A53" s="53"/>
      <c r="B53" s="53"/>
      <c r="C53" s="21"/>
      <c r="D53" s="21"/>
      <c r="E53" s="21"/>
      <c r="F53" s="21"/>
      <c r="G53" s="21"/>
      <c r="H53" s="109"/>
      <c r="I53" s="110"/>
      <c r="J53" s="110"/>
      <c r="K53" s="110"/>
      <c r="L53" s="110"/>
      <c r="M53" s="110"/>
      <c r="N53" s="110"/>
      <c r="O53" s="110"/>
      <c r="P53" s="110"/>
      <c r="Q53" s="110"/>
      <c r="R53" s="111"/>
      <c r="S53" s="21"/>
      <c r="T53" s="21"/>
      <c r="U53" s="21"/>
      <c r="V53" s="21"/>
      <c r="W53" s="21"/>
      <c r="X53" s="53"/>
      <c r="Y53" s="53"/>
      <c r="Z53" s="21"/>
      <c r="AA53" s="21"/>
      <c r="AB53" s="21"/>
      <c r="AC53" s="21"/>
      <c r="AD53" s="21"/>
      <c r="AE53" s="109"/>
      <c r="AF53" s="110"/>
      <c r="AG53" s="110"/>
      <c r="AH53" s="110"/>
      <c r="AI53" s="110"/>
      <c r="AJ53" s="110"/>
      <c r="AK53" s="110"/>
      <c r="AL53" s="110"/>
      <c r="AM53" s="110"/>
      <c r="AN53" s="110"/>
      <c r="AO53" s="111"/>
      <c r="AP53" s="21"/>
      <c r="AQ53" s="21"/>
      <c r="AR53" s="21"/>
      <c r="AS53" s="21"/>
      <c r="AT53" s="21"/>
      <c r="AU53" s="53"/>
      <c r="AV53" s="53"/>
      <c r="AW53" s="16"/>
      <c r="AX53" s="16"/>
      <c r="AY53" s="16"/>
      <c r="AZ53" s="79"/>
      <c r="BA53" s="79"/>
      <c r="BB53" s="79"/>
      <c r="BC53" s="80"/>
      <c r="BD53" s="80"/>
      <c r="BE53" s="80"/>
      <c r="BF53" s="81"/>
      <c r="BG53" s="81"/>
      <c r="BH53" s="81"/>
      <c r="BI53" s="82"/>
      <c r="BJ53" s="82"/>
      <c r="BK53" s="82"/>
      <c r="BL53" s="83"/>
      <c r="BM53" s="83"/>
      <c r="BN53" s="83"/>
      <c r="BO53" s="16"/>
      <c r="BP53" s="16"/>
      <c r="BQ53" s="16"/>
      <c r="BR53" s="53"/>
      <c r="BS53" s="53"/>
    </row>
    <row r="54" spans="1:85" ht="15" customHeight="1" x14ac:dyDescent="0.25">
      <c r="A54" s="53"/>
      <c r="B54" s="53"/>
      <c r="C54" s="21"/>
      <c r="D54" s="21"/>
      <c r="E54" s="21"/>
      <c r="F54" s="21"/>
      <c r="G54" s="21"/>
      <c r="H54" s="109"/>
      <c r="I54" s="110"/>
      <c r="J54" s="110"/>
      <c r="K54" s="110"/>
      <c r="L54" s="110"/>
      <c r="M54" s="110"/>
      <c r="N54" s="110"/>
      <c r="O54" s="110"/>
      <c r="P54" s="110"/>
      <c r="Q54" s="110"/>
      <c r="R54" s="111"/>
      <c r="S54" s="21"/>
      <c r="T54" s="21"/>
      <c r="U54" s="21"/>
      <c r="V54" s="21"/>
      <c r="W54" s="21"/>
      <c r="X54" s="53"/>
      <c r="Y54" s="53"/>
      <c r="Z54" s="21"/>
      <c r="AA54" s="21"/>
      <c r="AB54" s="21"/>
      <c r="AC54" s="21"/>
      <c r="AD54" s="21"/>
      <c r="AE54" s="109"/>
      <c r="AF54" s="110"/>
      <c r="AG54" s="110"/>
      <c r="AH54" s="110"/>
      <c r="AI54" s="110"/>
      <c r="AJ54" s="110"/>
      <c r="AK54" s="110"/>
      <c r="AL54" s="110"/>
      <c r="AM54" s="110"/>
      <c r="AN54" s="110"/>
      <c r="AO54" s="111"/>
      <c r="AP54" s="21"/>
      <c r="AQ54" s="21"/>
      <c r="AR54" s="21"/>
      <c r="AS54" s="21"/>
      <c r="AT54" s="21"/>
      <c r="AU54" s="53"/>
      <c r="AV54" s="53"/>
      <c r="AW54" s="16"/>
      <c r="AX54" s="16"/>
      <c r="AY54" s="16"/>
      <c r="AZ54" s="79"/>
      <c r="BA54" s="79"/>
      <c r="BB54" s="79"/>
      <c r="BC54" s="80"/>
      <c r="BD54" s="80"/>
      <c r="BE54" s="80"/>
      <c r="BF54" s="81"/>
      <c r="BG54" s="81"/>
      <c r="BH54" s="81"/>
      <c r="BI54" s="82"/>
      <c r="BJ54" s="82"/>
      <c r="BK54" s="82"/>
      <c r="BL54" s="83"/>
      <c r="BM54" s="83"/>
      <c r="BN54" s="83"/>
      <c r="BO54" s="16"/>
      <c r="BP54" s="16"/>
      <c r="BQ54" s="16"/>
      <c r="BR54" s="53"/>
      <c r="BS54" s="53"/>
    </row>
    <row r="55" spans="1:85" ht="15" customHeight="1" x14ac:dyDescent="0.25">
      <c r="A55" s="53"/>
      <c r="B55" s="53"/>
      <c r="C55" s="21"/>
      <c r="D55" s="21"/>
      <c r="E55" s="21"/>
      <c r="F55" s="21"/>
      <c r="G55" s="21"/>
      <c r="H55" s="109"/>
      <c r="I55" s="110"/>
      <c r="J55" s="110"/>
      <c r="K55" s="110"/>
      <c r="L55" s="110"/>
      <c r="M55" s="110"/>
      <c r="N55" s="110"/>
      <c r="O55" s="110"/>
      <c r="P55" s="110"/>
      <c r="Q55" s="110"/>
      <c r="R55" s="111"/>
      <c r="S55" s="21"/>
      <c r="T55" s="21"/>
      <c r="U55" s="21"/>
      <c r="V55" s="21"/>
      <c r="W55" s="21"/>
      <c r="X55" s="53"/>
      <c r="Y55" s="53"/>
      <c r="Z55" s="21"/>
      <c r="AA55" s="21"/>
      <c r="AB55" s="21"/>
      <c r="AC55" s="21"/>
      <c r="AD55" s="21"/>
      <c r="AE55" s="109"/>
      <c r="AF55" s="110"/>
      <c r="AG55" s="110"/>
      <c r="AH55" s="110"/>
      <c r="AI55" s="110"/>
      <c r="AJ55" s="110"/>
      <c r="AK55" s="110"/>
      <c r="AL55" s="110"/>
      <c r="AM55" s="110"/>
      <c r="AN55" s="110"/>
      <c r="AO55" s="111"/>
      <c r="AP55" s="21"/>
      <c r="AQ55" s="21"/>
      <c r="AR55" s="21"/>
      <c r="AS55" s="21"/>
      <c r="AT55" s="21"/>
      <c r="AU55" s="53"/>
      <c r="AV55" s="53"/>
      <c r="AW55" s="16"/>
      <c r="AX55" s="16"/>
      <c r="AY55" s="16"/>
      <c r="AZ55" s="79"/>
      <c r="BA55" s="79"/>
      <c r="BB55" s="79"/>
      <c r="BC55" s="80"/>
      <c r="BD55" s="80"/>
      <c r="BE55" s="80"/>
      <c r="BF55" s="81"/>
      <c r="BG55" s="81"/>
      <c r="BH55" s="81"/>
      <c r="BI55" s="82"/>
      <c r="BJ55" s="82"/>
      <c r="BK55" s="82"/>
      <c r="BL55" s="83"/>
      <c r="BM55" s="83"/>
      <c r="BN55" s="83"/>
      <c r="BO55" s="16"/>
      <c r="BP55" s="16"/>
      <c r="BQ55" s="16"/>
      <c r="BR55" s="53"/>
      <c r="BS55" s="53"/>
    </row>
    <row r="56" spans="1:85" ht="15" customHeight="1" x14ac:dyDescent="0.25">
      <c r="A56" s="53"/>
      <c r="B56" s="53"/>
      <c r="C56" s="21"/>
      <c r="D56" s="21"/>
      <c r="E56" s="21"/>
      <c r="F56" s="21"/>
      <c r="G56" s="21"/>
      <c r="H56" s="109"/>
      <c r="I56" s="110"/>
      <c r="J56" s="110"/>
      <c r="K56" s="110"/>
      <c r="L56" s="110"/>
      <c r="M56" s="110"/>
      <c r="N56" s="110"/>
      <c r="O56" s="110"/>
      <c r="P56" s="110"/>
      <c r="Q56" s="110"/>
      <c r="R56" s="111"/>
      <c r="S56" s="21"/>
      <c r="T56" s="21"/>
      <c r="U56" s="21"/>
      <c r="V56" s="21"/>
      <c r="W56" s="21"/>
      <c r="X56" s="53"/>
      <c r="Y56" s="53"/>
      <c r="Z56" s="21"/>
      <c r="AA56" s="21"/>
      <c r="AB56" s="21"/>
      <c r="AC56" s="21"/>
      <c r="AD56" s="21"/>
      <c r="AE56" s="109"/>
      <c r="AF56" s="110"/>
      <c r="AG56" s="110"/>
      <c r="AH56" s="110"/>
      <c r="AI56" s="110"/>
      <c r="AJ56" s="110"/>
      <c r="AK56" s="110"/>
      <c r="AL56" s="110"/>
      <c r="AM56" s="110"/>
      <c r="AN56" s="110"/>
      <c r="AO56" s="111"/>
      <c r="AP56" s="21"/>
      <c r="AQ56" s="21"/>
      <c r="AR56" s="21"/>
      <c r="AS56" s="21"/>
      <c r="AT56" s="21"/>
      <c r="AU56" s="53"/>
      <c r="AV56" s="53"/>
      <c r="AW56" s="16"/>
      <c r="AX56" s="16"/>
      <c r="AY56" s="16"/>
      <c r="AZ56" s="79"/>
      <c r="BA56" s="79"/>
      <c r="BB56" s="79"/>
      <c r="BC56" s="80"/>
      <c r="BD56" s="80"/>
      <c r="BE56" s="80"/>
      <c r="BF56" s="81"/>
      <c r="BG56" s="81"/>
      <c r="BH56" s="81"/>
      <c r="BI56" s="82"/>
      <c r="BJ56" s="82"/>
      <c r="BK56" s="82"/>
      <c r="BL56" s="83"/>
      <c r="BM56" s="83"/>
      <c r="BN56" s="83"/>
      <c r="BO56" s="16"/>
      <c r="BP56" s="16"/>
      <c r="BQ56" s="16"/>
      <c r="BR56" s="53"/>
      <c r="BS56" s="53"/>
    </row>
    <row r="57" spans="1:85" ht="15" customHeight="1" x14ac:dyDescent="0.25">
      <c r="A57" s="53"/>
      <c r="B57" s="53"/>
      <c r="C57" s="21"/>
      <c r="D57" s="21"/>
      <c r="E57" s="21"/>
      <c r="F57" s="21"/>
      <c r="G57" s="21"/>
      <c r="H57" s="109"/>
      <c r="I57" s="110"/>
      <c r="J57" s="110"/>
      <c r="K57" s="110"/>
      <c r="L57" s="110"/>
      <c r="M57" s="110"/>
      <c r="N57" s="110"/>
      <c r="O57" s="110"/>
      <c r="P57" s="110"/>
      <c r="Q57" s="110"/>
      <c r="R57" s="111"/>
      <c r="S57" s="21"/>
      <c r="T57" s="21"/>
      <c r="U57" s="21"/>
      <c r="V57" s="21"/>
      <c r="W57" s="21"/>
      <c r="X57" s="53"/>
      <c r="Y57" s="53"/>
      <c r="Z57" s="21"/>
      <c r="AA57" s="21"/>
      <c r="AB57" s="21"/>
      <c r="AC57" s="21"/>
      <c r="AD57" s="21"/>
      <c r="AE57" s="109"/>
      <c r="AF57" s="110"/>
      <c r="AG57" s="110"/>
      <c r="AH57" s="110"/>
      <c r="AI57" s="110"/>
      <c r="AJ57" s="110"/>
      <c r="AK57" s="110"/>
      <c r="AL57" s="110"/>
      <c r="AM57" s="110"/>
      <c r="AN57" s="110"/>
      <c r="AO57" s="111"/>
      <c r="AP57" s="21"/>
      <c r="AQ57" s="21"/>
      <c r="AR57" s="21"/>
      <c r="AS57" s="21"/>
      <c r="AT57" s="21"/>
      <c r="AU57" s="53"/>
      <c r="AV57" s="53"/>
      <c r="AW57" s="16"/>
      <c r="AX57" s="16"/>
      <c r="AY57" s="16"/>
      <c r="AZ57" s="79"/>
      <c r="BA57" s="79"/>
      <c r="BB57" s="79"/>
      <c r="BC57" s="80"/>
      <c r="BD57" s="80"/>
      <c r="BE57" s="80"/>
      <c r="BF57" s="81"/>
      <c r="BG57" s="81"/>
      <c r="BH57" s="81"/>
      <c r="BI57" s="82"/>
      <c r="BJ57" s="82"/>
      <c r="BK57" s="82"/>
      <c r="BL57" s="83"/>
      <c r="BM57" s="83"/>
      <c r="BN57" s="83"/>
      <c r="BO57" s="16"/>
      <c r="BP57" s="16"/>
      <c r="BQ57" s="16"/>
      <c r="BR57" s="53"/>
      <c r="BS57" s="53"/>
    </row>
    <row r="58" spans="1:85" ht="15" customHeight="1" x14ac:dyDescent="0.25">
      <c r="A58" s="53"/>
      <c r="B58" s="53"/>
      <c r="C58" s="21"/>
      <c r="D58" s="21"/>
      <c r="E58" s="21"/>
      <c r="F58" s="21"/>
      <c r="G58" s="21"/>
      <c r="H58" s="112"/>
      <c r="I58" s="113"/>
      <c r="J58" s="113"/>
      <c r="K58" s="113"/>
      <c r="L58" s="113"/>
      <c r="M58" s="113"/>
      <c r="N58" s="113"/>
      <c r="O58" s="113"/>
      <c r="P58" s="113"/>
      <c r="Q58" s="113"/>
      <c r="R58" s="114"/>
      <c r="S58" s="21"/>
      <c r="T58" s="21"/>
      <c r="U58" s="21"/>
      <c r="V58" s="21"/>
      <c r="W58" s="21"/>
      <c r="X58" s="53"/>
      <c r="Y58" s="53"/>
      <c r="Z58" s="21"/>
      <c r="AA58" s="21"/>
      <c r="AB58" s="21"/>
      <c r="AC58" s="21"/>
      <c r="AD58" s="21"/>
      <c r="AE58" s="112"/>
      <c r="AF58" s="113"/>
      <c r="AG58" s="113"/>
      <c r="AH58" s="113"/>
      <c r="AI58" s="113"/>
      <c r="AJ58" s="113"/>
      <c r="AK58" s="113"/>
      <c r="AL58" s="113"/>
      <c r="AM58" s="113"/>
      <c r="AN58" s="113"/>
      <c r="AO58" s="114"/>
      <c r="AP58" s="21"/>
      <c r="AQ58" s="21"/>
      <c r="AR58" s="21"/>
      <c r="AS58" s="21"/>
      <c r="AT58" s="21"/>
      <c r="AU58" s="53"/>
      <c r="AV58" s="53"/>
      <c r="AW58" s="16"/>
      <c r="AX58" s="16"/>
      <c r="AY58" s="16"/>
      <c r="AZ58" s="79"/>
      <c r="BA58" s="79"/>
      <c r="BB58" s="79"/>
      <c r="BC58" s="80"/>
      <c r="BD58" s="80"/>
      <c r="BE58" s="80"/>
      <c r="BF58" s="81"/>
      <c r="BG58" s="81"/>
      <c r="BH58" s="81"/>
      <c r="BI58" s="82"/>
      <c r="BJ58" s="82"/>
      <c r="BK58" s="82"/>
      <c r="BL58" s="83"/>
      <c r="BM58" s="83"/>
      <c r="BN58" s="83"/>
      <c r="BO58" s="16"/>
      <c r="BP58" s="16"/>
      <c r="BQ58" s="16"/>
      <c r="BR58" s="53"/>
      <c r="BS58" s="53"/>
    </row>
    <row r="59" spans="1:85" ht="15" customHeight="1" x14ac:dyDescent="0.25">
      <c r="A59" s="53"/>
      <c r="B59" s="53"/>
      <c r="C59" s="168" t="s">
        <v>31</v>
      </c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53"/>
      <c r="Y59" s="53"/>
      <c r="Z59" s="168" t="s">
        <v>31</v>
      </c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8"/>
      <c r="AT59" s="168"/>
      <c r="AU59" s="53"/>
      <c r="AV59" s="53"/>
      <c r="AW59" s="16"/>
      <c r="AX59" s="16"/>
      <c r="AY59" s="16"/>
      <c r="AZ59" s="79"/>
      <c r="BA59" s="79"/>
      <c r="BB59" s="79"/>
      <c r="BC59" s="80"/>
      <c r="BD59" s="80"/>
      <c r="BE59" s="80"/>
      <c r="BF59" s="81"/>
      <c r="BG59" s="81"/>
      <c r="BH59" s="81"/>
      <c r="BI59" s="82"/>
      <c r="BJ59" s="82"/>
      <c r="BK59" s="82"/>
      <c r="BL59" s="83"/>
      <c r="BM59" s="83"/>
      <c r="BN59" s="83"/>
      <c r="BO59" s="16"/>
      <c r="BP59" s="16"/>
      <c r="BQ59" s="16"/>
      <c r="BR59" s="53"/>
      <c r="BS59" s="53"/>
    </row>
    <row r="60" spans="1:85" ht="15" customHeight="1" x14ac:dyDescent="0.25">
      <c r="A60" s="53"/>
      <c r="B60" s="53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53"/>
      <c r="Y60" s="53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T60" s="168"/>
      <c r="AU60" s="53"/>
      <c r="AV60" s="53"/>
      <c r="AW60" s="20"/>
      <c r="AX60" s="20"/>
      <c r="AY60" s="20"/>
      <c r="AZ60" s="79"/>
      <c r="BA60" s="79"/>
      <c r="BB60" s="79"/>
      <c r="BC60" s="80"/>
      <c r="BD60" s="80"/>
      <c r="BE60" s="80"/>
      <c r="BF60" s="81"/>
      <c r="BG60" s="81"/>
      <c r="BH60" s="81"/>
      <c r="BI60" s="82"/>
      <c r="BJ60" s="82"/>
      <c r="BK60" s="82"/>
      <c r="BL60" s="83"/>
      <c r="BM60" s="83"/>
      <c r="BN60" s="83"/>
      <c r="BO60" s="20"/>
      <c r="BP60" s="20"/>
      <c r="BQ60" s="20"/>
      <c r="BR60" s="53"/>
      <c r="BS60" s="53"/>
    </row>
    <row r="61" spans="1:85" ht="15" customHeight="1" x14ac:dyDescent="0.25">
      <c r="A61" s="53"/>
      <c r="B61" s="53"/>
      <c r="C61" s="169" t="s">
        <v>32</v>
      </c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53"/>
      <c r="Y61" s="53"/>
      <c r="Z61" s="169" t="s">
        <v>32</v>
      </c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  <c r="AP61" s="169"/>
      <c r="AQ61" s="169"/>
      <c r="AR61" s="169"/>
      <c r="AS61" s="169"/>
      <c r="AT61" s="169"/>
      <c r="AU61" s="53"/>
      <c r="AV61" s="53"/>
      <c r="AW61" s="20"/>
      <c r="AX61" s="20"/>
      <c r="AY61" s="20"/>
      <c r="AZ61" s="79"/>
      <c r="BA61" s="79"/>
      <c r="BB61" s="79"/>
      <c r="BC61" s="80"/>
      <c r="BD61" s="80"/>
      <c r="BE61" s="80"/>
      <c r="BF61" s="81"/>
      <c r="BG61" s="81"/>
      <c r="BH61" s="81"/>
      <c r="BI61" s="82"/>
      <c r="BJ61" s="82"/>
      <c r="BK61" s="82"/>
      <c r="BL61" s="83"/>
      <c r="BM61" s="83"/>
      <c r="BN61" s="83"/>
      <c r="BO61" s="20"/>
      <c r="BP61" s="20"/>
      <c r="BQ61" s="20"/>
      <c r="BR61" s="53"/>
      <c r="BS61" s="53"/>
    </row>
    <row r="62" spans="1:85" ht="15" customHeight="1" x14ac:dyDescent="0.25">
      <c r="A62" s="53"/>
      <c r="B62" s="53"/>
      <c r="C62" s="169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53"/>
      <c r="Y62" s="53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  <c r="AP62" s="169"/>
      <c r="AQ62" s="169"/>
      <c r="AR62" s="169"/>
      <c r="AS62" s="169"/>
      <c r="AT62" s="169"/>
      <c r="AU62" s="53"/>
      <c r="AV62" s="53"/>
      <c r="AW62" s="18"/>
      <c r="AX62" s="18"/>
      <c r="AY62" s="18"/>
      <c r="AZ62" s="79"/>
      <c r="BA62" s="79"/>
      <c r="BB62" s="79"/>
      <c r="BC62" s="80"/>
      <c r="BD62" s="80"/>
      <c r="BE62" s="80"/>
      <c r="BF62" s="81"/>
      <c r="BG62" s="81"/>
      <c r="BH62" s="81"/>
      <c r="BI62" s="82"/>
      <c r="BJ62" s="82"/>
      <c r="BK62" s="82"/>
      <c r="BL62" s="83"/>
      <c r="BM62" s="83"/>
      <c r="BN62" s="83"/>
      <c r="BO62" s="18"/>
      <c r="BP62" s="18"/>
      <c r="BQ62" s="18"/>
      <c r="BR62" s="53"/>
      <c r="BS62" s="53"/>
    </row>
    <row r="63" spans="1:85" ht="15" customHeight="1" x14ac:dyDescent="0.25">
      <c r="A63" s="53"/>
      <c r="B63" s="53"/>
      <c r="C63" s="171" t="s">
        <v>33</v>
      </c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53"/>
      <c r="Y63" s="53"/>
      <c r="Z63" s="171" t="s">
        <v>33</v>
      </c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53"/>
      <c r="AV63" s="53"/>
      <c r="AW63" s="16"/>
      <c r="AX63" s="16"/>
      <c r="AY63" s="16"/>
      <c r="AZ63" s="79"/>
      <c r="BA63" s="79"/>
      <c r="BB63" s="79"/>
      <c r="BC63" s="80"/>
      <c r="BD63" s="80"/>
      <c r="BE63" s="80"/>
      <c r="BF63" s="81"/>
      <c r="BG63" s="81"/>
      <c r="BH63" s="81"/>
      <c r="BI63" s="82"/>
      <c r="BJ63" s="82"/>
      <c r="BK63" s="82"/>
      <c r="BL63" s="83"/>
      <c r="BM63" s="83"/>
      <c r="BN63" s="83"/>
      <c r="BO63" s="16"/>
      <c r="BP63" s="16"/>
      <c r="BQ63" s="16"/>
      <c r="BR63" s="53"/>
      <c r="BS63" s="53"/>
    </row>
    <row r="64" spans="1:85" ht="15" customHeight="1" x14ac:dyDescent="0.25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3"/>
      <c r="BR64" s="53"/>
      <c r="BS64" s="53"/>
      <c r="BT64" s="57" t="s">
        <v>41</v>
      </c>
      <c r="BU64" s="198" t="s">
        <v>38</v>
      </c>
      <c r="BV64" s="199"/>
      <c r="BW64" s="199"/>
      <c r="BX64" s="200"/>
      <c r="BY64" s="198" t="s">
        <v>39</v>
      </c>
      <c r="BZ64" s="199"/>
      <c r="CA64" s="199"/>
      <c r="CB64" s="200"/>
      <c r="CC64" s="198" t="s">
        <v>40</v>
      </c>
      <c r="CD64" s="199"/>
      <c r="CE64" s="199"/>
      <c r="CF64" s="200"/>
      <c r="CG64" t="s">
        <v>42</v>
      </c>
    </row>
    <row r="65" spans="1:85" ht="15" customHeight="1" x14ac:dyDescent="0.25">
      <c r="A65" s="53"/>
      <c r="B65" s="53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53"/>
      <c r="Y65" s="53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53"/>
      <c r="AV65" s="53"/>
      <c r="AW65" s="23"/>
      <c r="AX65" s="23"/>
      <c r="AY65" s="23"/>
      <c r="AZ65" s="65"/>
      <c r="BA65" s="65"/>
      <c r="BB65" s="65"/>
      <c r="BC65" s="66"/>
      <c r="BD65" s="66"/>
      <c r="BE65" s="66"/>
      <c r="BF65" s="67"/>
      <c r="BG65" s="67"/>
      <c r="BH65" s="67"/>
      <c r="BI65" s="68"/>
      <c r="BJ65" s="68"/>
      <c r="BK65" s="68"/>
      <c r="BL65" s="64"/>
      <c r="BM65" s="64"/>
      <c r="BN65" s="64"/>
      <c r="BO65" s="23"/>
      <c r="BP65" s="23"/>
      <c r="BQ65" s="23"/>
      <c r="BR65" s="53"/>
      <c r="BS65" s="53"/>
      <c r="BT65" s="58" t="s">
        <v>17</v>
      </c>
      <c r="BU65" s="61" t="str">
        <f ca="1">CELL("address",$C65)</f>
        <v>$C$65</v>
      </c>
      <c r="BV65" s="61" t="str">
        <f ca="1">CELL("address",$W84)</f>
        <v>$W$84</v>
      </c>
      <c r="BW65" s="61" t="b">
        <f ca="1">IF(CELL("contents",INDIRECT($BU65))&lt;&gt;"X",TRUE,FALSE)</f>
        <v>1</v>
      </c>
      <c r="BX65" s="60" t="str">
        <f ca="1">CONCATENATE(BU65,":",BV65)</f>
        <v>$C$65:$W$84</v>
      </c>
      <c r="BY65" s="61" t="str">
        <f ca="1">CELL("address",$Z65)</f>
        <v>$Z$65</v>
      </c>
      <c r="BZ65" s="61" t="str">
        <f ca="1">CELL("address",$AT84)</f>
        <v>$AT$84</v>
      </c>
      <c r="CA65" s="61" t="b">
        <f ca="1">IF(CELL("contents",INDIRECT($BY65))&lt;&gt;"X",TRUE,FALSE)</f>
        <v>1</v>
      </c>
      <c r="CB65" s="60" t="str">
        <f ca="1">CONCATENATE(BY65,":",BZ65)</f>
        <v>$Z$65:$AT$84</v>
      </c>
      <c r="CC65" s="61" t="str">
        <f ca="1">CELL("address",$AW65)</f>
        <v>$AW$65</v>
      </c>
      <c r="CD65" s="61" t="str">
        <f ca="1">CELL("address",$BQ84)</f>
        <v>$BQ$84</v>
      </c>
      <c r="CE65" s="61" t="b">
        <f ca="1">IF(CELL("contents",INDIRECT($CC65))&lt;&gt;"X",TRUE,FALSE)</f>
        <v>1</v>
      </c>
      <c r="CF65" s="60" t="str">
        <f ca="1">CONCATENATE(CC65,":",CD65)</f>
        <v>$AW$65:$BQ$84</v>
      </c>
      <c r="CG65">
        <f ca="1">_xlfn.IFNA(IF($BW:$BW=TRUE,1+MAX($CG$1:CG64),""),"")</f>
        <v>4</v>
      </c>
    </row>
    <row r="66" spans="1:85" ht="15" customHeight="1" x14ac:dyDescent="0.25">
      <c r="A66" s="53"/>
      <c r="B66" s="53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53"/>
      <c r="Y66" s="53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53"/>
      <c r="AV66" s="53"/>
      <c r="AW66" s="23"/>
      <c r="AX66" s="23"/>
      <c r="AY66" s="23"/>
      <c r="AZ66" s="65"/>
      <c r="BA66" s="65"/>
      <c r="BB66" s="65"/>
      <c r="BC66" s="66"/>
      <c r="BD66" s="66"/>
      <c r="BE66" s="66"/>
      <c r="BF66" s="67"/>
      <c r="BG66" s="67"/>
      <c r="BH66" s="67"/>
      <c r="BI66" s="68"/>
      <c r="BJ66" s="68"/>
      <c r="BK66" s="68"/>
      <c r="BL66" s="64"/>
      <c r="BM66" s="64"/>
      <c r="BN66" s="64"/>
      <c r="BO66" s="23"/>
      <c r="BP66" s="23"/>
      <c r="BQ66" s="23"/>
      <c r="BR66" s="53"/>
      <c r="BS66" s="53"/>
      <c r="BU66" s="58"/>
      <c r="BV66" s="58"/>
      <c r="BW66" s="58"/>
      <c r="BX66" s="50"/>
      <c r="BY66" s="58"/>
      <c r="BZ66" s="58"/>
      <c r="CA66" s="58"/>
      <c r="CB66" s="50"/>
      <c r="CC66" s="58"/>
      <c r="CD66" s="58"/>
      <c r="CE66" s="58"/>
    </row>
    <row r="67" spans="1:85" ht="15" customHeight="1" x14ac:dyDescent="0.25">
      <c r="A67" s="53"/>
      <c r="B67" s="53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53"/>
      <c r="Y67" s="53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53"/>
      <c r="AV67" s="53"/>
      <c r="AW67" s="23"/>
      <c r="AX67" s="23"/>
      <c r="AY67" s="23"/>
      <c r="AZ67" s="65"/>
      <c r="BA67" s="65"/>
      <c r="BB67" s="65"/>
      <c r="BC67" s="66"/>
      <c r="BD67" s="66"/>
      <c r="BE67" s="66"/>
      <c r="BF67" s="67"/>
      <c r="BG67" s="67"/>
      <c r="BH67" s="67"/>
      <c r="BI67" s="68"/>
      <c r="BJ67" s="68"/>
      <c r="BK67" s="68"/>
      <c r="BL67" s="64"/>
      <c r="BM67" s="64"/>
      <c r="BN67" s="64"/>
      <c r="BO67" s="23"/>
      <c r="BP67" s="23"/>
      <c r="BQ67" s="23"/>
      <c r="BR67" s="53"/>
      <c r="BS67" s="53"/>
    </row>
    <row r="68" spans="1:85" ht="15" customHeight="1" x14ac:dyDescent="0.25">
      <c r="A68" s="53"/>
      <c r="B68" s="53"/>
      <c r="C68" s="101" t="s">
        <v>36</v>
      </c>
      <c r="D68" s="102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53"/>
      <c r="Y68" s="53"/>
      <c r="Z68" s="101" t="s">
        <v>36</v>
      </c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53"/>
      <c r="AV68" s="53"/>
      <c r="AW68" s="24"/>
      <c r="AX68" s="25"/>
      <c r="AY68" s="25"/>
      <c r="AZ68" s="65"/>
      <c r="BA68" s="65"/>
      <c r="BB68" s="65"/>
      <c r="BC68" s="66"/>
      <c r="BD68" s="66"/>
      <c r="BE68" s="66"/>
      <c r="BF68" s="67"/>
      <c r="BG68" s="67"/>
      <c r="BH68" s="67"/>
      <c r="BI68" s="68"/>
      <c r="BJ68" s="68"/>
      <c r="BK68" s="68"/>
      <c r="BL68" s="64"/>
      <c r="BM68" s="64"/>
      <c r="BN68" s="64"/>
      <c r="BO68" s="25"/>
      <c r="BP68" s="25"/>
      <c r="BQ68" s="25"/>
      <c r="BR68" s="53"/>
      <c r="BS68" s="53"/>
    </row>
    <row r="69" spans="1:85" ht="15" customHeight="1" x14ac:dyDescent="0.25">
      <c r="A69" s="53"/>
      <c r="B69" s="53"/>
      <c r="C69" s="101" t="s">
        <v>35</v>
      </c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53"/>
      <c r="Y69" s="53"/>
      <c r="Z69" s="101" t="s">
        <v>35</v>
      </c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53"/>
      <c r="AV69" s="53"/>
      <c r="AW69" s="24"/>
      <c r="AX69" s="25"/>
      <c r="AY69" s="25"/>
      <c r="AZ69" s="65"/>
      <c r="BA69" s="65"/>
      <c r="BB69" s="65"/>
      <c r="BC69" s="66"/>
      <c r="BD69" s="66"/>
      <c r="BE69" s="66"/>
      <c r="BF69" s="67"/>
      <c r="BG69" s="67"/>
      <c r="BH69" s="67"/>
      <c r="BI69" s="68"/>
      <c r="BJ69" s="68"/>
      <c r="BK69" s="68"/>
      <c r="BL69" s="64"/>
      <c r="BM69" s="64"/>
      <c r="BN69" s="64"/>
      <c r="BO69" s="25"/>
      <c r="BP69" s="25"/>
      <c r="BQ69" s="25"/>
      <c r="BR69" s="53"/>
      <c r="BS69" s="53"/>
    </row>
    <row r="70" spans="1:85" ht="15" customHeight="1" x14ac:dyDescent="0.25">
      <c r="A70" s="53"/>
      <c r="B70" s="53"/>
      <c r="C70" s="115" t="s">
        <v>17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53"/>
      <c r="Y70" s="53"/>
      <c r="Z70" s="103" t="s">
        <v>18</v>
      </c>
      <c r="AA70" s="103"/>
      <c r="AB70" s="103"/>
      <c r="AC70" s="103"/>
      <c r="AD70" s="103"/>
      <c r="AE70" s="103"/>
      <c r="AF70" s="103"/>
      <c r="AG70" s="103"/>
      <c r="AH70" s="103"/>
      <c r="AI70" s="103"/>
      <c r="AJ70" s="103"/>
      <c r="AK70" s="103"/>
      <c r="AL70" s="103"/>
      <c r="AM70" s="103"/>
      <c r="AN70" s="103"/>
      <c r="AO70" s="103"/>
      <c r="AP70" s="103"/>
      <c r="AQ70" s="103"/>
      <c r="AR70" s="103"/>
      <c r="AS70" s="103"/>
      <c r="AT70" s="103"/>
      <c r="AU70" s="53"/>
      <c r="AV70" s="53"/>
      <c r="AW70" s="26"/>
      <c r="AX70" s="23"/>
      <c r="AY70" s="23"/>
      <c r="AZ70" s="65" t="s">
        <v>3</v>
      </c>
      <c r="BA70" s="65"/>
      <c r="BB70" s="65"/>
      <c r="BC70" s="66" t="s">
        <v>4</v>
      </c>
      <c r="BD70" s="66"/>
      <c r="BE70" s="66"/>
      <c r="BF70" s="67" t="s">
        <v>5</v>
      </c>
      <c r="BG70" s="67"/>
      <c r="BH70" s="67"/>
      <c r="BI70" s="68" t="s">
        <v>6</v>
      </c>
      <c r="BJ70" s="68"/>
      <c r="BK70" s="68"/>
      <c r="BL70" s="64" t="s">
        <v>7</v>
      </c>
      <c r="BM70" s="64"/>
      <c r="BN70" s="64"/>
      <c r="BO70" s="26"/>
      <c r="BP70" s="26"/>
      <c r="BQ70" s="26"/>
      <c r="BR70" s="53"/>
      <c r="BS70" s="53"/>
    </row>
    <row r="71" spans="1:85" ht="15" customHeight="1" x14ac:dyDescent="0.25">
      <c r="A71" s="53"/>
      <c r="B71" s="53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53"/>
      <c r="Y71" s="53"/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53"/>
      <c r="AV71" s="53"/>
      <c r="AW71" s="26"/>
      <c r="AX71" s="23"/>
      <c r="AY71" s="23"/>
      <c r="AZ71" s="65"/>
      <c r="BA71" s="65"/>
      <c r="BB71" s="65"/>
      <c r="BC71" s="66"/>
      <c r="BD71" s="66"/>
      <c r="BE71" s="66"/>
      <c r="BF71" s="67"/>
      <c r="BG71" s="67"/>
      <c r="BH71" s="67"/>
      <c r="BI71" s="68"/>
      <c r="BJ71" s="68"/>
      <c r="BK71" s="68"/>
      <c r="BL71" s="64"/>
      <c r="BM71" s="64"/>
      <c r="BN71" s="64"/>
      <c r="BO71" s="26"/>
      <c r="BP71" s="26"/>
      <c r="BQ71" s="26"/>
      <c r="BR71" s="53"/>
      <c r="BS71" s="53"/>
    </row>
    <row r="72" spans="1:85" ht="15" customHeight="1" x14ac:dyDescent="0.25">
      <c r="A72" s="53"/>
      <c r="B72" s="53"/>
      <c r="C72" s="22"/>
      <c r="D72" s="22"/>
      <c r="E72" s="22"/>
      <c r="F72" s="22"/>
      <c r="G72" s="22"/>
      <c r="H72" s="92" t="s">
        <v>37</v>
      </c>
      <c r="I72" s="93"/>
      <c r="J72" s="93"/>
      <c r="K72" s="93"/>
      <c r="L72" s="93"/>
      <c r="M72" s="93"/>
      <c r="N72" s="93"/>
      <c r="O72" s="93"/>
      <c r="P72" s="93"/>
      <c r="Q72" s="93"/>
      <c r="R72" s="94"/>
      <c r="S72" s="22"/>
      <c r="T72" s="22"/>
      <c r="U72" s="22"/>
      <c r="V72" s="22"/>
      <c r="W72" s="22"/>
      <c r="X72" s="53"/>
      <c r="Y72" s="53"/>
      <c r="Z72" s="22"/>
      <c r="AA72" s="22"/>
      <c r="AB72" s="22"/>
      <c r="AC72" s="22"/>
      <c r="AD72" s="22"/>
      <c r="AE72" s="92" t="s">
        <v>37</v>
      </c>
      <c r="AF72" s="93"/>
      <c r="AG72" s="93"/>
      <c r="AH72" s="93"/>
      <c r="AI72" s="93"/>
      <c r="AJ72" s="93"/>
      <c r="AK72" s="93"/>
      <c r="AL72" s="93"/>
      <c r="AM72" s="93"/>
      <c r="AN72" s="93"/>
      <c r="AO72" s="94"/>
      <c r="AP72" s="22"/>
      <c r="AQ72" s="22"/>
      <c r="AR72" s="22"/>
      <c r="AS72" s="22"/>
      <c r="AT72" s="22"/>
      <c r="AU72" s="53"/>
      <c r="AV72" s="53"/>
      <c r="AW72" s="23"/>
      <c r="AX72" s="23"/>
      <c r="AY72" s="23"/>
      <c r="AZ72" s="79" t="s">
        <v>8</v>
      </c>
      <c r="BA72" s="79"/>
      <c r="BB72" s="79"/>
      <c r="BC72" s="80" t="s">
        <v>9</v>
      </c>
      <c r="BD72" s="80"/>
      <c r="BE72" s="80"/>
      <c r="BF72" s="81" t="s">
        <v>10</v>
      </c>
      <c r="BG72" s="81"/>
      <c r="BH72" s="81"/>
      <c r="BI72" s="82" t="s">
        <v>11</v>
      </c>
      <c r="BJ72" s="82"/>
      <c r="BK72" s="82"/>
      <c r="BL72" s="83" t="s">
        <v>12</v>
      </c>
      <c r="BM72" s="83"/>
      <c r="BN72" s="83"/>
      <c r="BO72" s="23"/>
      <c r="BP72" s="23"/>
      <c r="BQ72" s="23"/>
      <c r="BR72" s="53"/>
      <c r="BS72" s="53"/>
    </row>
    <row r="73" spans="1:85" ht="15" customHeight="1" x14ac:dyDescent="0.25">
      <c r="A73" s="53"/>
      <c r="B73" s="53"/>
      <c r="C73" s="22"/>
      <c r="D73" s="22"/>
      <c r="E73" s="22"/>
      <c r="F73" s="22"/>
      <c r="G73" s="22"/>
      <c r="H73" s="95"/>
      <c r="I73" s="96"/>
      <c r="J73" s="96"/>
      <c r="K73" s="96"/>
      <c r="L73" s="96"/>
      <c r="M73" s="96"/>
      <c r="N73" s="96"/>
      <c r="O73" s="96"/>
      <c r="P73" s="96"/>
      <c r="Q73" s="96"/>
      <c r="R73" s="97"/>
      <c r="S73" s="22"/>
      <c r="T73" s="22"/>
      <c r="U73" s="22"/>
      <c r="V73" s="22"/>
      <c r="W73" s="22"/>
      <c r="X73" s="53"/>
      <c r="Y73" s="53"/>
      <c r="Z73" s="22"/>
      <c r="AA73" s="22"/>
      <c r="AB73" s="22"/>
      <c r="AC73" s="22"/>
      <c r="AD73" s="22"/>
      <c r="AE73" s="95"/>
      <c r="AF73" s="96"/>
      <c r="AG73" s="96"/>
      <c r="AH73" s="96"/>
      <c r="AI73" s="96"/>
      <c r="AJ73" s="96"/>
      <c r="AK73" s="96"/>
      <c r="AL73" s="96"/>
      <c r="AM73" s="96"/>
      <c r="AN73" s="96"/>
      <c r="AO73" s="97"/>
      <c r="AP73" s="22"/>
      <c r="AQ73" s="22"/>
      <c r="AR73" s="22"/>
      <c r="AS73" s="22"/>
      <c r="AT73" s="22"/>
      <c r="AU73" s="53"/>
      <c r="AV73" s="53"/>
      <c r="AW73" s="23"/>
      <c r="AX73" s="23"/>
      <c r="AY73" s="23"/>
      <c r="AZ73" s="79"/>
      <c r="BA73" s="79"/>
      <c r="BB73" s="79"/>
      <c r="BC73" s="80"/>
      <c r="BD73" s="80"/>
      <c r="BE73" s="80"/>
      <c r="BF73" s="81"/>
      <c r="BG73" s="81"/>
      <c r="BH73" s="81"/>
      <c r="BI73" s="82"/>
      <c r="BJ73" s="82"/>
      <c r="BK73" s="82"/>
      <c r="BL73" s="83"/>
      <c r="BM73" s="83"/>
      <c r="BN73" s="83"/>
      <c r="BO73" s="23"/>
      <c r="BP73" s="23"/>
      <c r="BQ73" s="23"/>
      <c r="BR73" s="53"/>
      <c r="BS73" s="53"/>
    </row>
    <row r="74" spans="1:85" ht="15" customHeight="1" x14ac:dyDescent="0.25">
      <c r="A74" s="53"/>
      <c r="B74" s="53"/>
      <c r="C74" s="22"/>
      <c r="D74" s="22"/>
      <c r="E74" s="22"/>
      <c r="F74" s="22"/>
      <c r="G74" s="22"/>
      <c r="H74" s="95"/>
      <c r="I74" s="96"/>
      <c r="J74" s="96"/>
      <c r="K74" s="96"/>
      <c r="L74" s="96"/>
      <c r="M74" s="96"/>
      <c r="N74" s="96"/>
      <c r="O74" s="96"/>
      <c r="P74" s="96"/>
      <c r="Q74" s="96"/>
      <c r="R74" s="97"/>
      <c r="S74" s="22"/>
      <c r="T74" s="22"/>
      <c r="U74" s="22"/>
      <c r="V74" s="22"/>
      <c r="W74" s="22"/>
      <c r="X74" s="53"/>
      <c r="Y74" s="53"/>
      <c r="Z74" s="22"/>
      <c r="AA74" s="22"/>
      <c r="AB74" s="22"/>
      <c r="AC74" s="22"/>
      <c r="AD74" s="22"/>
      <c r="AE74" s="95"/>
      <c r="AF74" s="96"/>
      <c r="AG74" s="96"/>
      <c r="AH74" s="96"/>
      <c r="AI74" s="96"/>
      <c r="AJ74" s="96"/>
      <c r="AK74" s="96"/>
      <c r="AL74" s="96"/>
      <c r="AM74" s="96"/>
      <c r="AN74" s="96"/>
      <c r="AO74" s="97"/>
      <c r="AP74" s="22"/>
      <c r="AQ74" s="22"/>
      <c r="AR74" s="22"/>
      <c r="AS74" s="22"/>
      <c r="AT74" s="22"/>
      <c r="AU74" s="53"/>
      <c r="AV74" s="53"/>
      <c r="AW74" s="23"/>
      <c r="AX74" s="23"/>
      <c r="AY74" s="23"/>
      <c r="AZ74" s="79"/>
      <c r="BA74" s="79"/>
      <c r="BB74" s="79"/>
      <c r="BC74" s="80"/>
      <c r="BD74" s="80"/>
      <c r="BE74" s="80"/>
      <c r="BF74" s="81"/>
      <c r="BG74" s="81"/>
      <c r="BH74" s="81"/>
      <c r="BI74" s="82"/>
      <c r="BJ74" s="82"/>
      <c r="BK74" s="82"/>
      <c r="BL74" s="83"/>
      <c r="BM74" s="83"/>
      <c r="BN74" s="83"/>
      <c r="BO74" s="23"/>
      <c r="BP74" s="23"/>
      <c r="BQ74" s="23"/>
      <c r="BR74" s="53"/>
      <c r="BS74" s="53"/>
    </row>
    <row r="75" spans="1:85" ht="15" customHeight="1" x14ac:dyDescent="0.25">
      <c r="A75" s="53"/>
      <c r="B75" s="53"/>
      <c r="C75" s="22"/>
      <c r="D75" s="22"/>
      <c r="E75" s="22"/>
      <c r="F75" s="22"/>
      <c r="G75" s="22"/>
      <c r="H75" s="95"/>
      <c r="I75" s="96"/>
      <c r="J75" s="96"/>
      <c r="K75" s="96"/>
      <c r="L75" s="96"/>
      <c r="M75" s="96"/>
      <c r="N75" s="96"/>
      <c r="O75" s="96"/>
      <c r="P75" s="96"/>
      <c r="Q75" s="96"/>
      <c r="R75" s="97"/>
      <c r="S75" s="22"/>
      <c r="T75" s="22"/>
      <c r="U75" s="22"/>
      <c r="V75" s="22"/>
      <c r="W75" s="22"/>
      <c r="X75" s="53"/>
      <c r="Y75" s="53"/>
      <c r="Z75" s="22"/>
      <c r="AA75" s="22"/>
      <c r="AB75" s="22"/>
      <c r="AC75" s="22"/>
      <c r="AD75" s="22"/>
      <c r="AE75" s="95"/>
      <c r="AF75" s="96"/>
      <c r="AG75" s="96"/>
      <c r="AH75" s="96"/>
      <c r="AI75" s="96"/>
      <c r="AJ75" s="96"/>
      <c r="AK75" s="96"/>
      <c r="AL75" s="96"/>
      <c r="AM75" s="96"/>
      <c r="AN75" s="96"/>
      <c r="AO75" s="97"/>
      <c r="AP75" s="22"/>
      <c r="AQ75" s="22"/>
      <c r="AR75" s="22"/>
      <c r="AS75" s="22"/>
      <c r="AT75" s="22"/>
      <c r="AU75" s="53"/>
      <c r="AV75" s="53"/>
      <c r="AW75" s="23"/>
      <c r="AX75" s="23"/>
      <c r="AY75" s="23"/>
      <c r="AZ75" s="79"/>
      <c r="BA75" s="79"/>
      <c r="BB75" s="79"/>
      <c r="BC75" s="80"/>
      <c r="BD75" s="80"/>
      <c r="BE75" s="80"/>
      <c r="BF75" s="81"/>
      <c r="BG75" s="81"/>
      <c r="BH75" s="81"/>
      <c r="BI75" s="82"/>
      <c r="BJ75" s="82"/>
      <c r="BK75" s="82"/>
      <c r="BL75" s="83"/>
      <c r="BM75" s="83"/>
      <c r="BN75" s="83"/>
      <c r="BO75" s="23"/>
      <c r="BP75" s="23"/>
      <c r="BQ75" s="23"/>
      <c r="BR75" s="53"/>
      <c r="BS75" s="53"/>
    </row>
    <row r="76" spans="1:85" ht="15" customHeight="1" x14ac:dyDescent="0.25">
      <c r="A76" s="53"/>
      <c r="B76" s="53"/>
      <c r="C76" s="22"/>
      <c r="D76" s="22"/>
      <c r="E76" s="22"/>
      <c r="F76" s="22"/>
      <c r="G76" s="22"/>
      <c r="H76" s="95"/>
      <c r="I76" s="96"/>
      <c r="J76" s="96"/>
      <c r="K76" s="96"/>
      <c r="L76" s="96"/>
      <c r="M76" s="96"/>
      <c r="N76" s="96"/>
      <c r="O76" s="96"/>
      <c r="P76" s="96"/>
      <c r="Q76" s="96"/>
      <c r="R76" s="97"/>
      <c r="S76" s="22"/>
      <c r="T76" s="22"/>
      <c r="U76" s="22"/>
      <c r="V76" s="22"/>
      <c r="W76" s="22"/>
      <c r="X76" s="53"/>
      <c r="Y76" s="53"/>
      <c r="Z76" s="22"/>
      <c r="AA76" s="22"/>
      <c r="AB76" s="22"/>
      <c r="AC76" s="22"/>
      <c r="AD76" s="22"/>
      <c r="AE76" s="95"/>
      <c r="AF76" s="96"/>
      <c r="AG76" s="96"/>
      <c r="AH76" s="96"/>
      <c r="AI76" s="96"/>
      <c r="AJ76" s="96"/>
      <c r="AK76" s="96"/>
      <c r="AL76" s="96"/>
      <c r="AM76" s="96"/>
      <c r="AN76" s="96"/>
      <c r="AO76" s="97"/>
      <c r="AP76" s="22"/>
      <c r="AQ76" s="22"/>
      <c r="AR76" s="22"/>
      <c r="AS76" s="22"/>
      <c r="AT76" s="22"/>
      <c r="AU76" s="53"/>
      <c r="AV76" s="53"/>
      <c r="AW76" s="23"/>
      <c r="AX76" s="23"/>
      <c r="AY76" s="23"/>
      <c r="AZ76" s="79"/>
      <c r="BA76" s="79"/>
      <c r="BB76" s="79"/>
      <c r="BC76" s="80"/>
      <c r="BD76" s="80"/>
      <c r="BE76" s="80"/>
      <c r="BF76" s="81"/>
      <c r="BG76" s="81"/>
      <c r="BH76" s="81"/>
      <c r="BI76" s="82"/>
      <c r="BJ76" s="82"/>
      <c r="BK76" s="82"/>
      <c r="BL76" s="83"/>
      <c r="BM76" s="83"/>
      <c r="BN76" s="83"/>
      <c r="BO76" s="23"/>
      <c r="BP76" s="23"/>
      <c r="BQ76" s="23"/>
      <c r="BR76" s="53"/>
      <c r="BS76" s="53"/>
    </row>
    <row r="77" spans="1:85" ht="15" customHeight="1" x14ac:dyDescent="0.25">
      <c r="A77" s="53"/>
      <c r="B77" s="53"/>
      <c r="C77" s="22"/>
      <c r="D77" s="22"/>
      <c r="E77" s="22"/>
      <c r="F77" s="22"/>
      <c r="G77" s="22"/>
      <c r="H77" s="95"/>
      <c r="I77" s="96"/>
      <c r="J77" s="96"/>
      <c r="K77" s="96"/>
      <c r="L77" s="96"/>
      <c r="M77" s="96"/>
      <c r="N77" s="96"/>
      <c r="O77" s="96"/>
      <c r="P77" s="96"/>
      <c r="Q77" s="96"/>
      <c r="R77" s="97"/>
      <c r="S77" s="22"/>
      <c r="T77" s="22"/>
      <c r="U77" s="22"/>
      <c r="V77" s="22"/>
      <c r="W77" s="22"/>
      <c r="X77" s="53"/>
      <c r="Y77" s="53"/>
      <c r="Z77" s="22"/>
      <c r="AA77" s="22"/>
      <c r="AB77" s="22"/>
      <c r="AC77" s="22"/>
      <c r="AD77" s="22"/>
      <c r="AE77" s="95"/>
      <c r="AF77" s="96"/>
      <c r="AG77" s="96"/>
      <c r="AH77" s="96"/>
      <c r="AI77" s="96"/>
      <c r="AJ77" s="96"/>
      <c r="AK77" s="96"/>
      <c r="AL77" s="96"/>
      <c r="AM77" s="96"/>
      <c r="AN77" s="96"/>
      <c r="AO77" s="97"/>
      <c r="AP77" s="22"/>
      <c r="AQ77" s="22"/>
      <c r="AR77" s="22"/>
      <c r="AS77" s="22"/>
      <c r="AT77" s="22"/>
      <c r="AU77" s="53"/>
      <c r="AV77" s="53"/>
      <c r="AW77" s="23"/>
      <c r="AX77" s="23"/>
      <c r="AY77" s="23"/>
      <c r="AZ77" s="79"/>
      <c r="BA77" s="79"/>
      <c r="BB77" s="79"/>
      <c r="BC77" s="80"/>
      <c r="BD77" s="80"/>
      <c r="BE77" s="80"/>
      <c r="BF77" s="81"/>
      <c r="BG77" s="81"/>
      <c r="BH77" s="81"/>
      <c r="BI77" s="82"/>
      <c r="BJ77" s="82"/>
      <c r="BK77" s="82"/>
      <c r="BL77" s="83"/>
      <c r="BM77" s="83"/>
      <c r="BN77" s="83"/>
      <c r="BO77" s="23"/>
      <c r="BP77" s="23"/>
      <c r="BQ77" s="23"/>
      <c r="BR77" s="53"/>
      <c r="BS77" s="53"/>
    </row>
    <row r="78" spans="1:85" ht="15" customHeight="1" x14ac:dyDescent="0.25">
      <c r="A78" s="53"/>
      <c r="B78" s="53"/>
      <c r="C78" s="22"/>
      <c r="D78" s="22"/>
      <c r="E78" s="22"/>
      <c r="F78" s="22"/>
      <c r="G78" s="22"/>
      <c r="H78" s="95"/>
      <c r="I78" s="96"/>
      <c r="J78" s="96"/>
      <c r="K78" s="96"/>
      <c r="L78" s="96"/>
      <c r="M78" s="96"/>
      <c r="N78" s="96"/>
      <c r="O78" s="96"/>
      <c r="P78" s="96"/>
      <c r="Q78" s="96"/>
      <c r="R78" s="97"/>
      <c r="S78" s="22"/>
      <c r="T78" s="22"/>
      <c r="U78" s="22"/>
      <c r="V78" s="22"/>
      <c r="W78" s="22"/>
      <c r="X78" s="53"/>
      <c r="Y78" s="53"/>
      <c r="Z78" s="22"/>
      <c r="AA78" s="22"/>
      <c r="AB78" s="22"/>
      <c r="AC78" s="22"/>
      <c r="AD78" s="22"/>
      <c r="AE78" s="95"/>
      <c r="AF78" s="96"/>
      <c r="AG78" s="96"/>
      <c r="AH78" s="96"/>
      <c r="AI78" s="96"/>
      <c r="AJ78" s="96"/>
      <c r="AK78" s="96"/>
      <c r="AL78" s="96"/>
      <c r="AM78" s="96"/>
      <c r="AN78" s="96"/>
      <c r="AO78" s="97"/>
      <c r="AP78" s="22"/>
      <c r="AQ78" s="22"/>
      <c r="AR78" s="22"/>
      <c r="AS78" s="22"/>
      <c r="AT78" s="22"/>
      <c r="AU78" s="53"/>
      <c r="AV78" s="53"/>
      <c r="AW78" s="23"/>
      <c r="AX78" s="23"/>
      <c r="AY78" s="23"/>
      <c r="AZ78" s="79"/>
      <c r="BA78" s="79"/>
      <c r="BB78" s="79"/>
      <c r="BC78" s="80"/>
      <c r="BD78" s="80"/>
      <c r="BE78" s="80"/>
      <c r="BF78" s="81"/>
      <c r="BG78" s="81"/>
      <c r="BH78" s="81"/>
      <c r="BI78" s="82"/>
      <c r="BJ78" s="82"/>
      <c r="BK78" s="82"/>
      <c r="BL78" s="83"/>
      <c r="BM78" s="83"/>
      <c r="BN78" s="83"/>
      <c r="BO78" s="23"/>
      <c r="BP78" s="23"/>
      <c r="BQ78" s="23"/>
      <c r="BR78" s="53"/>
      <c r="BS78" s="53"/>
    </row>
    <row r="79" spans="1:85" ht="15" customHeight="1" x14ac:dyDescent="0.25">
      <c r="A79" s="53"/>
      <c r="B79" s="53"/>
      <c r="C79" s="22"/>
      <c r="D79" s="22"/>
      <c r="E79" s="22"/>
      <c r="F79" s="22"/>
      <c r="G79" s="22"/>
      <c r="H79" s="98"/>
      <c r="I79" s="99"/>
      <c r="J79" s="99"/>
      <c r="K79" s="99"/>
      <c r="L79" s="99"/>
      <c r="M79" s="99"/>
      <c r="N79" s="99"/>
      <c r="O79" s="99"/>
      <c r="P79" s="99"/>
      <c r="Q79" s="99"/>
      <c r="R79" s="100"/>
      <c r="S79" s="22"/>
      <c r="T79" s="22"/>
      <c r="U79" s="22"/>
      <c r="V79" s="22"/>
      <c r="W79" s="22"/>
      <c r="X79" s="53"/>
      <c r="Y79" s="53"/>
      <c r="Z79" s="22"/>
      <c r="AA79" s="22"/>
      <c r="AB79" s="22"/>
      <c r="AC79" s="22"/>
      <c r="AD79" s="22"/>
      <c r="AE79" s="98"/>
      <c r="AF79" s="99"/>
      <c r="AG79" s="99"/>
      <c r="AH79" s="99"/>
      <c r="AI79" s="99"/>
      <c r="AJ79" s="99"/>
      <c r="AK79" s="99"/>
      <c r="AL79" s="99"/>
      <c r="AM79" s="99"/>
      <c r="AN79" s="99"/>
      <c r="AO79" s="100"/>
      <c r="AP79" s="22"/>
      <c r="AQ79" s="22"/>
      <c r="AR79" s="22"/>
      <c r="AS79" s="22"/>
      <c r="AT79" s="22"/>
      <c r="AU79" s="53"/>
      <c r="AV79" s="53"/>
      <c r="AW79" s="23"/>
      <c r="AX79" s="23"/>
      <c r="AY79" s="23"/>
      <c r="AZ79" s="79"/>
      <c r="BA79" s="79"/>
      <c r="BB79" s="79"/>
      <c r="BC79" s="80"/>
      <c r="BD79" s="80"/>
      <c r="BE79" s="80"/>
      <c r="BF79" s="81"/>
      <c r="BG79" s="81"/>
      <c r="BH79" s="81"/>
      <c r="BI79" s="82"/>
      <c r="BJ79" s="82"/>
      <c r="BK79" s="82"/>
      <c r="BL79" s="83"/>
      <c r="BM79" s="83"/>
      <c r="BN79" s="83"/>
      <c r="BO79" s="23"/>
      <c r="BP79" s="23"/>
      <c r="BQ79" s="23"/>
      <c r="BR79" s="53"/>
      <c r="BS79" s="53"/>
    </row>
    <row r="80" spans="1:85" ht="15" customHeight="1" x14ac:dyDescent="0.25">
      <c r="A80" s="53"/>
      <c r="B80" s="53"/>
      <c r="C80" s="166" t="s">
        <v>31</v>
      </c>
      <c r="D80" s="166"/>
      <c r="E80" s="166"/>
      <c r="F80" s="166"/>
      <c r="G80" s="166"/>
      <c r="H80" s="166"/>
      <c r="I80" s="166"/>
      <c r="J80" s="166"/>
      <c r="K80" s="166"/>
      <c r="L80" s="166"/>
      <c r="M80" s="166"/>
      <c r="N80" s="166"/>
      <c r="O80" s="166"/>
      <c r="P80" s="166"/>
      <c r="Q80" s="166"/>
      <c r="R80" s="166"/>
      <c r="S80" s="166"/>
      <c r="T80" s="166"/>
      <c r="U80" s="166"/>
      <c r="V80" s="166"/>
      <c r="W80" s="166"/>
      <c r="X80" s="53"/>
      <c r="Y80" s="53"/>
      <c r="Z80" s="166" t="s">
        <v>31</v>
      </c>
      <c r="AA80" s="166"/>
      <c r="AB80" s="166"/>
      <c r="AC80" s="166"/>
      <c r="AD80" s="166"/>
      <c r="AE80" s="166"/>
      <c r="AF80" s="166"/>
      <c r="AG80" s="166"/>
      <c r="AH80" s="166"/>
      <c r="AI80" s="166"/>
      <c r="AJ80" s="166"/>
      <c r="AK80" s="166"/>
      <c r="AL80" s="166"/>
      <c r="AM80" s="166"/>
      <c r="AN80" s="166"/>
      <c r="AO80" s="166"/>
      <c r="AP80" s="166"/>
      <c r="AQ80" s="166"/>
      <c r="AR80" s="166"/>
      <c r="AS80" s="166"/>
      <c r="AT80" s="166"/>
      <c r="AU80" s="53"/>
      <c r="AV80" s="53"/>
      <c r="AW80" s="23"/>
      <c r="AX80" s="23"/>
      <c r="AY80" s="23"/>
      <c r="AZ80" s="79"/>
      <c r="BA80" s="79"/>
      <c r="BB80" s="79"/>
      <c r="BC80" s="80"/>
      <c r="BD80" s="80"/>
      <c r="BE80" s="80"/>
      <c r="BF80" s="81"/>
      <c r="BG80" s="81"/>
      <c r="BH80" s="81"/>
      <c r="BI80" s="82"/>
      <c r="BJ80" s="82"/>
      <c r="BK80" s="82"/>
      <c r="BL80" s="83"/>
      <c r="BM80" s="83"/>
      <c r="BN80" s="83"/>
      <c r="BO80" s="23"/>
      <c r="BP80" s="23"/>
      <c r="BQ80" s="23"/>
      <c r="BR80" s="53"/>
      <c r="BS80" s="53"/>
    </row>
    <row r="81" spans="1:85" ht="15" customHeight="1" x14ac:dyDescent="0.25">
      <c r="A81" s="53"/>
      <c r="B81" s="53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6"/>
      <c r="P81" s="166"/>
      <c r="Q81" s="166"/>
      <c r="R81" s="166"/>
      <c r="S81" s="166"/>
      <c r="T81" s="166"/>
      <c r="U81" s="166"/>
      <c r="V81" s="166"/>
      <c r="W81" s="166"/>
      <c r="X81" s="53"/>
      <c r="Y81" s="53"/>
      <c r="Z81" s="166"/>
      <c r="AA81" s="166"/>
      <c r="AB81" s="166"/>
      <c r="AC81" s="166"/>
      <c r="AD81" s="166"/>
      <c r="AE81" s="166"/>
      <c r="AF81" s="166"/>
      <c r="AG81" s="166"/>
      <c r="AH81" s="166"/>
      <c r="AI81" s="166"/>
      <c r="AJ81" s="166"/>
      <c r="AK81" s="166"/>
      <c r="AL81" s="166"/>
      <c r="AM81" s="166"/>
      <c r="AN81" s="166"/>
      <c r="AO81" s="166"/>
      <c r="AP81" s="166"/>
      <c r="AQ81" s="166"/>
      <c r="AR81" s="166"/>
      <c r="AS81" s="166"/>
      <c r="AT81" s="166"/>
      <c r="AU81" s="53"/>
      <c r="AV81" s="53"/>
      <c r="AW81" s="27"/>
      <c r="AX81" s="27"/>
      <c r="AY81" s="27"/>
      <c r="AZ81" s="79"/>
      <c r="BA81" s="79"/>
      <c r="BB81" s="79"/>
      <c r="BC81" s="80"/>
      <c r="BD81" s="80"/>
      <c r="BE81" s="80"/>
      <c r="BF81" s="81"/>
      <c r="BG81" s="81"/>
      <c r="BH81" s="81"/>
      <c r="BI81" s="82"/>
      <c r="BJ81" s="82"/>
      <c r="BK81" s="82"/>
      <c r="BL81" s="83"/>
      <c r="BM81" s="83"/>
      <c r="BN81" s="83"/>
      <c r="BO81" s="27"/>
      <c r="BP81" s="27"/>
      <c r="BQ81" s="27"/>
      <c r="BR81" s="53"/>
      <c r="BS81" s="53"/>
    </row>
    <row r="82" spans="1:85" ht="15" customHeight="1" x14ac:dyDescent="0.25">
      <c r="A82" s="53"/>
      <c r="B82" s="53"/>
      <c r="C82" s="167" t="s">
        <v>32</v>
      </c>
      <c r="D82" s="167"/>
      <c r="E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53"/>
      <c r="Y82" s="53"/>
      <c r="Z82" s="167" t="s">
        <v>32</v>
      </c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  <c r="AP82" s="167"/>
      <c r="AQ82" s="167"/>
      <c r="AR82" s="167"/>
      <c r="AS82" s="167"/>
      <c r="AT82" s="167"/>
      <c r="AU82" s="53"/>
      <c r="AV82" s="53"/>
      <c r="AW82" s="27"/>
      <c r="AX82" s="27"/>
      <c r="AY82" s="27"/>
      <c r="AZ82" s="79"/>
      <c r="BA82" s="79"/>
      <c r="BB82" s="79"/>
      <c r="BC82" s="80"/>
      <c r="BD82" s="80"/>
      <c r="BE82" s="80"/>
      <c r="BF82" s="81"/>
      <c r="BG82" s="81"/>
      <c r="BH82" s="81"/>
      <c r="BI82" s="82"/>
      <c r="BJ82" s="82"/>
      <c r="BK82" s="82"/>
      <c r="BL82" s="83"/>
      <c r="BM82" s="83"/>
      <c r="BN82" s="83"/>
      <c r="BO82" s="27"/>
      <c r="BP82" s="27"/>
      <c r="BQ82" s="27"/>
      <c r="BR82" s="53"/>
      <c r="BS82" s="53"/>
    </row>
    <row r="83" spans="1:85" ht="15" customHeight="1" x14ac:dyDescent="0.25">
      <c r="A83" s="53"/>
      <c r="B83" s="53"/>
      <c r="C83" s="167"/>
      <c r="D83" s="167"/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53"/>
      <c r="Y83" s="53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7"/>
      <c r="AK83" s="167"/>
      <c r="AL83" s="167"/>
      <c r="AM83" s="167"/>
      <c r="AN83" s="167"/>
      <c r="AO83" s="167"/>
      <c r="AP83" s="167"/>
      <c r="AQ83" s="167"/>
      <c r="AR83" s="167"/>
      <c r="AS83" s="167"/>
      <c r="AT83" s="167"/>
      <c r="AU83" s="53"/>
      <c r="AV83" s="53"/>
      <c r="AW83" s="25"/>
      <c r="AX83" s="25"/>
      <c r="AY83" s="25"/>
      <c r="AZ83" s="79"/>
      <c r="BA83" s="79"/>
      <c r="BB83" s="79"/>
      <c r="BC83" s="80"/>
      <c r="BD83" s="80"/>
      <c r="BE83" s="80"/>
      <c r="BF83" s="81"/>
      <c r="BG83" s="81"/>
      <c r="BH83" s="81"/>
      <c r="BI83" s="82"/>
      <c r="BJ83" s="82"/>
      <c r="BK83" s="82"/>
      <c r="BL83" s="83"/>
      <c r="BM83" s="83"/>
      <c r="BN83" s="83"/>
      <c r="BO83" s="25"/>
      <c r="BP83" s="25"/>
      <c r="BQ83" s="25"/>
      <c r="BR83" s="53"/>
      <c r="BS83" s="53"/>
    </row>
    <row r="84" spans="1:85" ht="15" customHeight="1" x14ac:dyDescent="0.25">
      <c r="A84" s="53"/>
      <c r="B84" s="53"/>
      <c r="C84" s="117" t="s">
        <v>33</v>
      </c>
      <c r="D84" s="117"/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17"/>
      <c r="V84" s="117"/>
      <c r="W84" s="117"/>
      <c r="X84" s="53"/>
      <c r="Y84" s="53"/>
      <c r="Z84" s="117" t="s">
        <v>33</v>
      </c>
      <c r="AA84" s="117"/>
      <c r="AB84" s="117"/>
      <c r="AC84" s="117"/>
      <c r="AD84" s="117"/>
      <c r="AE84" s="117"/>
      <c r="AF84" s="117"/>
      <c r="AG84" s="117"/>
      <c r="AH84" s="117"/>
      <c r="AI84" s="117"/>
      <c r="AJ84" s="117"/>
      <c r="AK84" s="117"/>
      <c r="AL84" s="117"/>
      <c r="AM84" s="117"/>
      <c r="AN84" s="117"/>
      <c r="AO84" s="117"/>
      <c r="AP84" s="117"/>
      <c r="AQ84" s="117"/>
      <c r="AR84" s="117"/>
      <c r="AS84" s="117"/>
      <c r="AT84" s="117"/>
      <c r="AU84" s="53"/>
      <c r="AV84" s="53"/>
      <c r="AW84" s="23"/>
      <c r="AX84" s="23"/>
      <c r="AY84" s="23"/>
      <c r="AZ84" s="79"/>
      <c r="BA84" s="79"/>
      <c r="BB84" s="79"/>
      <c r="BC84" s="80"/>
      <c r="BD84" s="80"/>
      <c r="BE84" s="80"/>
      <c r="BF84" s="81"/>
      <c r="BG84" s="81"/>
      <c r="BH84" s="81"/>
      <c r="BI84" s="82"/>
      <c r="BJ84" s="82"/>
      <c r="BK84" s="82"/>
      <c r="BL84" s="83"/>
      <c r="BM84" s="83"/>
      <c r="BN84" s="83"/>
      <c r="BO84" s="23"/>
      <c r="BP84" s="23"/>
      <c r="BQ84" s="23"/>
      <c r="BR84" s="53"/>
      <c r="BS84" s="53"/>
    </row>
    <row r="85" spans="1:85" ht="15" customHeight="1" x14ac:dyDescent="0.25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/>
      <c r="BA85" s="53"/>
      <c r="BB85" s="53"/>
      <c r="BC85" s="53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7" t="s">
        <v>41</v>
      </c>
      <c r="BU85" s="198" t="s">
        <v>38</v>
      </c>
      <c r="BV85" s="199"/>
      <c r="BW85" s="199"/>
      <c r="BX85" s="200"/>
      <c r="BY85" s="198" t="s">
        <v>39</v>
      </c>
      <c r="BZ85" s="199"/>
      <c r="CA85" s="199"/>
      <c r="CB85" s="200"/>
      <c r="CC85" s="198" t="s">
        <v>40</v>
      </c>
      <c r="CD85" s="199"/>
      <c r="CE85" s="199"/>
      <c r="CF85" s="200"/>
      <c r="CG85" t="s">
        <v>42</v>
      </c>
    </row>
    <row r="86" spans="1:85" ht="15" customHeight="1" x14ac:dyDescent="0.25">
      <c r="A86" s="53"/>
      <c r="B86" s="5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53"/>
      <c r="Y86" s="53"/>
      <c r="Z86" s="69" t="s">
        <v>0</v>
      </c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53"/>
      <c r="AV86" s="53"/>
      <c r="AW86" s="35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53"/>
      <c r="BS86" s="53"/>
      <c r="BT86" s="58" t="s">
        <v>27</v>
      </c>
      <c r="BU86" s="61" t="str">
        <f ca="1">CELL("address",$C86)</f>
        <v>$C$86</v>
      </c>
      <c r="BV86" s="61" t="str">
        <f ca="1">CELL("address",$W105)</f>
        <v>$W$105</v>
      </c>
      <c r="BW86" s="61" t="b">
        <f ca="1">IF(CELL("contents",INDIRECT($BU86))&lt;&gt;"X",TRUE,FALSE)</f>
        <v>1</v>
      </c>
      <c r="BX86" s="60" t="str">
        <f ca="1">CONCATENATE(BU86,":",BV86)</f>
        <v>$C$86:$W$105</v>
      </c>
      <c r="BY86" s="61" t="str">
        <f ca="1">CELL("address",$Z86)</f>
        <v>$Z$86</v>
      </c>
      <c r="BZ86" s="61" t="str">
        <f ca="1">CELL("address",$AT105)</f>
        <v>$AT$105</v>
      </c>
      <c r="CA86" s="61" t="b">
        <f ca="1">IF(CELL("contents",INDIRECT($BY86))&lt;&gt;"X",TRUE,FALSE)</f>
        <v>0</v>
      </c>
      <c r="CB86" s="60" t="str">
        <f ca="1">CONCATENATE(BY86,":",BZ86)</f>
        <v>$Z$86:$AT$105</v>
      </c>
      <c r="CC86" s="61" t="str">
        <f ca="1">CELL("address",$AW86)</f>
        <v>$AW$86</v>
      </c>
      <c r="CD86" s="61" t="str">
        <f ca="1">CELL("address",$BQ105)</f>
        <v>$BQ$105</v>
      </c>
      <c r="CE86" s="61" t="b">
        <f ca="1">IF(CELL("contents",INDIRECT($CC86))&lt;&gt;"X",TRUE,FALSE)</f>
        <v>1</v>
      </c>
      <c r="CF86" s="60" t="str">
        <f ca="1">CONCATENATE(CC86,":",CD86)</f>
        <v>$AW$86:$BQ$105</v>
      </c>
      <c r="CG86">
        <f ca="1">_xlfn.IFNA(IF($BW:$BW=TRUE,1+MAX($CG$1:CG85),""),"")</f>
        <v>5</v>
      </c>
    </row>
    <row r="87" spans="1:85" ht="15" customHeight="1" x14ac:dyDescent="0.25">
      <c r="A87" s="53"/>
      <c r="B87" s="5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53"/>
      <c r="Y87" s="53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53"/>
      <c r="AV87" s="53"/>
      <c r="AW87" s="35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53"/>
      <c r="BS87" s="53"/>
      <c r="BU87" s="58"/>
      <c r="BV87" s="58"/>
      <c r="BW87" s="58"/>
      <c r="BX87" s="50"/>
      <c r="BY87" s="58"/>
      <c r="BZ87" s="58"/>
      <c r="CA87" s="58"/>
      <c r="CB87" s="50"/>
      <c r="CC87" s="58"/>
      <c r="CD87" s="58"/>
      <c r="CE87" s="58"/>
    </row>
    <row r="88" spans="1:85" ht="15" customHeight="1" x14ac:dyDescent="0.25">
      <c r="A88" s="53"/>
      <c r="B88" s="5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53"/>
      <c r="Y88" s="53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53"/>
      <c r="AV88" s="53"/>
      <c r="AW88" s="35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6"/>
      <c r="BR88" s="53"/>
      <c r="BS88" s="53"/>
    </row>
    <row r="89" spans="1:85" ht="15" customHeight="1" x14ac:dyDescent="0.25">
      <c r="A89" s="53"/>
      <c r="B89" s="53"/>
      <c r="C89" s="125" t="s">
        <v>36</v>
      </c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53"/>
      <c r="Y89" s="53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53"/>
      <c r="AV89" s="53"/>
      <c r="AW89" s="38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6"/>
      <c r="BR89" s="53"/>
      <c r="BS89" s="53"/>
    </row>
    <row r="90" spans="1:85" ht="15" customHeight="1" x14ac:dyDescent="0.25">
      <c r="A90" s="53"/>
      <c r="B90" s="53"/>
      <c r="C90" s="125" t="s">
        <v>35</v>
      </c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53"/>
      <c r="Y90" s="53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53"/>
      <c r="AV90" s="53"/>
      <c r="AW90" s="38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6"/>
      <c r="BR90" s="53"/>
      <c r="BS90" s="53"/>
    </row>
    <row r="91" spans="1:85" ht="15" customHeight="1" x14ac:dyDescent="0.25">
      <c r="A91" s="53"/>
      <c r="B91" s="53"/>
      <c r="C91" s="127" t="s">
        <v>27</v>
      </c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53"/>
      <c r="Y91" s="53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53"/>
      <c r="AV91" s="53"/>
      <c r="AW91" s="121" t="s">
        <v>27</v>
      </c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1"/>
      <c r="BK91" s="121"/>
      <c r="BL91" s="121"/>
      <c r="BM91" s="121"/>
      <c r="BN91" s="121"/>
      <c r="BO91" s="121"/>
      <c r="BP91" s="121"/>
      <c r="BQ91" s="121"/>
      <c r="BR91" s="53"/>
      <c r="BS91" s="53"/>
    </row>
    <row r="92" spans="1:85" ht="15" customHeight="1" x14ac:dyDescent="0.25">
      <c r="A92" s="53"/>
      <c r="B92" s="53"/>
      <c r="C92" s="127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53"/>
      <c r="Y92" s="53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53"/>
      <c r="AV92" s="53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1"/>
      <c r="BK92" s="121"/>
      <c r="BL92" s="121"/>
      <c r="BM92" s="121"/>
      <c r="BN92" s="121"/>
      <c r="BO92" s="121"/>
      <c r="BP92" s="121"/>
      <c r="BQ92" s="121"/>
      <c r="BR92" s="53"/>
      <c r="BS92" s="53"/>
    </row>
    <row r="93" spans="1:85" ht="15" customHeight="1" x14ac:dyDescent="0.25">
      <c r="A93" s="53"/>
      <c r="B93" s="53"/>
      <c r="C93" s="33"/>
      <c r="D93" s="33"/>
      <c r="E93" s="33"/>
      <c r="F93" s="33"/>
      <c r="G93" s="33"/>
      <c r="H93" s="128" t="s">
        <v>37</v>
      </c>
      <c r="I93" s="129"/>
      <c r="J93" s="129"/>
      <c r="K93" s="129"/>
      <c r="L93" s="129"/>
      <c r="M93" s="129"/>
      <c r="N93" s="129"/>
      <c r="O93" s="129"/>
      <c r="P93" s="129"/>
      <c r="Q93" s="129"/>
      <c r="R93" s="130"/>
      <c r="S93" s="33"/>
      <c r="T93" s="33"/>
      <c r="U93" s="33"/>
      <c r="V93" s="33"/>
      <c r="W93" s="33"/>
      <c r="X93" s="53"/>
      <c r="Y93" s="53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53"/>
      <c r="AV93" s="53"/>
      <c r="AW93" s="33"/>
      <c r="AX93" s="33"/>
      <c r="AY93" s="33"/>
      <c r="AZ93" s="33"/>
      <c r="BA93" s="33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3"/>
      <c r="BN93" s="33"/>
      <c r="BO93" s="33"/>
      <c r="BP93" s="33"/>
      <c r="BQ93" s="33"/>
      <c r="BR93" s="53"/>
      <c r="BS93" s="53"/>
    </row>
    <row r="94" spans="1:85" ht="15" customHeight="1" x14ac:dyDescent="0.25">
      <c r="A94" s="53"/>
      <c r="B94" s="53"/>
      <c r="C94" s="33"/>
      <c r="D94" s="33"/>
      <c r="E94" s="33"/>
      <c r="F94" s="33"/>
      <c r="G94" s="33"/>
      <c r="H94" s="131"/>
      <c r="I94" s="132"/>
      <c r="J94" s="132"/>
      <c r="K94" s="132"/>
      <c r="L94" s="132"/>
      <c r="M94" s="132"/>
      <c r="N94" s="132"/>
      <c r="O94" s="132"/>
      <c r="P94" s="132"/>
      <c r="Q94" s="132"/>
      <c r="R94" s="133"/>
      <c r="S94" s="33"/>
      <c r="T94" s="33"/>
      <c r="U94" s="33"/>
      <c r="V94" s="33"/>
      <c r="W94" s="33"/>
      <c r="X94" s="53"/>
      <c r="Y94" s="53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53"/>
      <c r="AV94" s="53"/>
      <c r="AW94" s="33"/>
      <c r="AX94" s="33"/>
      <c r="AY94" s="33"/>
      <c r="AZ94" s="33"/>
      <c r="BA94" s="33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3"/>
      <c r="BN94" s="33"/>
      <c r="BO94" s="33"/>
      <c r="BP94" s="33"/>
      <c r="BQ94" s="33"/>
      <c r="BR94" s="53"/>
      <c r="BS94" s="53"/>
    </row>
    <row r="95" spans="1:85" ht="15" customHeight="1" x14ac:dyDescent="0.25">
      <c r="A95" s="53"/>
      <c r="B95" s="53"/>
      <c r="C95" s="33"/>
      <c r="D95" s="33"/>
      <c r="E95" s="33"/>
      <c r="F95" s="33"/>
      <c r="G95" s="33"/>
      <c r="H95" s="131"/>
      <c r="I95" s="132"/>
      <c r="J95" s="132"/>
      <c r="K95" s="132"/>
      <c r="L95" s="132"/>
      <c r="M95" s="132"/>
      <c r="N95" s="132"/>
      <c r="O95" s="132"/>
      <c r="P95" s="132"/>
      <c r="Q95" s="132"/>
      <c r="R95" s="133"/>
      <c r="S95" s="33"/>
      <c r="T95" s="33"/>
      <c r="U95" s="33"/>
      <c r="V95" s="33"/>
      <c r="W95" s="33"/>
      <c r="X95" s="53"/>
      <c r="Y95" s="53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53"/>
      <c r="AV95" s="53"/>
      <c r="AW95" s="33"/>
      <c r="AX95" s="33"/>
      <c r="AY95" s="33"/>
      <c r="AZ95" s="33"/>
      <c r="BA95" s="33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3"/>
      <c r="BN95" s="33"/>
      <c r="BO95" s="33"/>
      <c r="BP95" s="33"/>
      <c r="BQ95" s="33"/>
      <c r="BR95" s="53"/>
      <c r="BS95" s="53"/>
    </row>
    <row r="96" spans="1:85" ht="15" customHeight="1" x14ac:dyDescent="0.25">
      <c r="A96" s="53"/>
      <c r="B96" s="53"/>
      <c r="C96" s="33"/>
      <c r="D96" s="33"/>
      <c r="E96" s="33"/>
      <c r="F96" s="33"/>
      <c r="G96" s="33"/>
      <c r="H96" s="131"/>
      <c r="I96" s="132"/>
      <c r="J96" s="132"/>
      <c r="K96" s="132"/>
      <c r="L96" s="132"/>
      <c r="M96" s="132"/>
      <c r="N96" s="132"/>
      <c r="O96" s="132"/>
      <c r="P96" s="132"/>
      <c r="Q96" s="132"/>
      <c r="R96" s="133"/>
      <c r="S96" s="33"/>
      <c r="T96" s="33"/>
      <c r="U96" s="33"/>
      <c r="V96" s="33"/>
      <c r="W96" s="33"/>
      <c r="X96" s="53"/>
      <c r="Y96" s="53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53"/>
      <c r="AV96" s="53"/>
      <c r="AW96" s="33"/>
      <c r="AX96" s="33"/>
      <c r="AY96" s="33"/>
      <c r="AZ96" s="33"/>
      <c r="BA96" s="33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3"/>
      <c r="BN96" s="33"/>
      <c r="BO96" s="33"/>
      <c r="BP96" s="33"/>
      <c r="BQ96" s="33"/>
      <c r="BR96" s="53"/>
      <c r="BS96" s="53"/>
    </row>
    <row r="97" spans="1:85" ht="15" customHeight="1" x14ac:dyDescent="0.25">
      <c r="A97" s="53"/>
      <c r="B97" s="53"/>
      <c r="C97" s="33"/>
      <c r="D97" s="33"/>
      <c r="E97" s="33"/>
      <c r="F97" s="33"/>
      <c r="G97" s="33"/>
      <c r="H97" s="131"/>
      <c r="I97" s="132"/>
      <c r="J97" s="132"/>
      <c r="K97" s="132"/>
      <c r="L97" s="132"/>
      <c r="M97" s="132"/>
      <c r="N97" s="132"/>
      <c r="O97" s="132"/>
      <c r="P97" s="132"/>
      <c r="Q97" s="132"/>
      <c r="R97" s="133"/>
      <c r="S97" s="33"/>
      <c r="T97" s="33"/>
      <c r="U97" s="33"/>
      <c r="V97" s="33"/>
      <c r="W97" s="33"/>
      <c r="X97" s="53"/>
      <c r="Y97" s="53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53"/>
      <c r="AV97" s="53"/>
      <c r="AW97" s="33"/>
      <c r="AX97" s="33"/>
      <c r="AY97" s="33"/>
      <c r="AZ97" s="33"/>
      <c r="BA97" s="33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3"/>
      <c r="BN97" s="33"/>
      <c r="BO97" s="33"/>
      <c r="BP97" s="33"/>
      <c r="BQ97" s="33"/>
      <c r="BR97" s="53"/>
      <c r="BS97" s="53"/>
    </row>
    <row r="98" spans="1:85" ht="15" customHeight="1" x14ac:dyDescent="0.25">
      <c r="A98" s="53"/>
      <c r="B98" s="53"/>
      <c r="C98" s="33"/>
      <c r="D98" s="33"/>
      <c r="E98" s="33"/>
      <c r="F98" s="33"/>
      <c r="G98" s="33"/>
      <c r="H98" s="131"/>
      <c r="I98" s="132"/>
      <c r="J98" s="132"/>
      <c r="K98" s="132"/>
      <c r="L98" s="132"/>
      <c r="M98" s="132"/>
      <c r="N98" s="132"/>
      <c r="O98" s="132"/>
      <c r="P98" s="132"/>
      <c r="Q98" s="132"/>
      <c r="R98" s="133"/>
      <c r="S98" s="33"/>
      <c r="T98" s="33"/>
      <c r="U98" s="33"/>
      <c r="V98" s="33"/>
      <c r="W98" s="33"/>
      <c r="X98" s="53"/>
      <c r="Y98" s="53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53"/>
      <c r="AV98" s="53"/>
      <c r="AW98" s="33"/>
      <c r="AX98" s="33"/>
      <c r="AY98" s="33"/>
      <c r="AZ98" s="33"/>
      <c r="BA98" s="33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3"/>
      <c r="BN98" s="33"/>
      <c r="BO98" s="33"/>
      <c r="BP98" s="33"/>
      <c r="BQ98" s="33"/>
      <c r="BR98" s="53"/>
      <c r="BS98" s="53"/>
    </row>
    <row r="99" spans="1:85" ht="15" customHeight="1" x14ac:dyDescent="0.25">
      <c r="A99" s="53"/>
      <c r="B99" s="53"/>
      <c r="C99" s="33"/>
      <c r="D99" s="33"/>
      <c r="E99" s="33"/>
      <c r="F99" s="33"/>
      <c r="G99" s="33"/>
      <c r="H99" s="131"/>
      <c r="I99" s="132"/>
      <c r="J99" s="132"/>
      <c r="K99" s="132"/>
      <c r="L99" s="132"/>
      <c r="M99" s="132"/>
      <c r="N99" s="132"/>
      <c r="O99" s="132"/>
      <c r="P99" s="132"/>
      <c r="Q99" s="132"/>
      <c r="R99" s="133"/>
      <c r="S99" s="33"/>
      <c r="T99" s="33"/>
      <c r="U99" s="33"/>
      <c r="V99" s="33"/>
      <c r="W99" s="33"/>
      <c r="X99" s="53"/>
      <c r="Y99" s="53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53"/>
      <c r="AV99" s="53"/>
      <c r="AW99" s="33"/>
      <c r="AX99" s="33"/>
      <c r="AY99" s="33"/>
      <c r="AZ99" s="33"/>
      <c r="BA99" s="33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3"/>
      <c r="BN99" s="33"/>
      <c r="BO99" s="33"/>
      <c r="BP99" s="33"/>
      <c r="BQ99" s="33"/>
      <c r="BR99" s="53"/>
      <c r="BS99" s="53"/>
    </row>
    <row r="100" spans="1:85" ht="15" customHeight="1" x14ac:dyDescent="0.25">
      <c r="A100" s="53"/>
      <c r="B100" s="53"/>
      <c r="C100" s="33"/>
      <c r="D100" s="33"/>
      <c r="E100" s="33"/>
      <c r="F100" s="33"/>
      <c r="G100" s="33"/>
      <c r="H100" s="134"/>
      <c r="I100" s="135"/>
      <c r="J100" s="135"/>
      <c r="K100" s="135"/>
      <c r="L100" s="135"/>
      <c r="M100" s="135"/>
      <c r="N100" s="135"/>
      <c r="O100" s="135"/>
      <c r="P100" s="135"/>
      <c r="Q100" s="135"/>
      <c r="R100" s="136"/>
      <c r="S100" s="33"/>
      <c r="T100" s="33"/>
      <c r="U100" s="33"/>
      <c r="V100" s="33"/>
      <c r="W100" s="33"/>
      <c r="X100" s="53"/>
      <c r="Y100" s="53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53"/>
      <c r="AV100" s="53"/>
      <c r="AW100" s="33"/>
      <c r="AX100" s="33"/>
      <c r="AY100" s="33"/>
      <c r="AZ100" s="33"/>
      <c r="BA100" s="33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3"/>
      <c r="BN100" s="33"/>
      <c r="BO100" s="33"/>
      <c r="BP100" s="33"/>
      <c r="BQ100" s="33"/>
      <c r="BR100" s="53"/>
      <c r="BS100" s="53"/>
    </row>
    <row r="101" spans="1:85" ht="15" customHeight="1" x14ac:dyDescent="0.25">
      <c r="A101" s="53"/>
      <c r="B101" s="53"/>
      <c r="C101" s="118" t="s">
        <v>31</v>
      </c>
      <c r="D101" s="118"/>
      <c r="E101" s="118"/>
      <c r="F101" s="118"/>
      <c r="G101" s="118"/>
      <c r="H101" s="118"/>
      <c r="I101" s="118"/>
      <c r="J101" s="118"/>
      <c r="K101" s="118"/>
      <c r="L101" s="118"/>
      <c r="M101" s="118"/>
      <c r="N101" s="118"/>
      <c r="O101" s="118"/>
      <c r="P101" s="118"/>
      <c r="Q101" s="118"/>
      <c r="R101" s="118"/>
      <c r="S101" s="118"/>
      <c r="T101" s="118"/>
      <c r="U101" s="118"/>
      <c r="V101" s="118"/>
      <c r="W101" s="118"/>
      <c r="X101" s="53"/>
      <c r="Y101" s="53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53"/>
      <c r="AV101" s="5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4"/>
      <c r="BL101" s="34"/>
      <c r="BM101" s="33"/>
      <c r="BN101" s="33"/>
      <c r="BO101" s="33"/>
      <c r="BP101" s="33"/>
      <c r="BQ101" s="33"/>
      <c r="BR101" s="53"/>
      <c r="BS101" s="53"/>
    </row>
    <row r="102" spans="1:85" ht="15" customHeight="1" x14ac:dyDescent="0.25">
      <c r="A102" s="53"/>
      <c r="B102" s="53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  <c r="N102" s="118"/>
      <c r="O102" s="118"/>
      <c r="P102" s="118"/>
      <c r="Q102" s="118"/>
      <c r="R102" s="118"/>
      <c r="S102" s="118"/>
      <c r="T102" s="118"/>
      <c r="U102" s="118"/>
      <c r="V102" s="118"/>
      <c r="W102" s="118"/>
      <c r="X102" s="53"/>
      <c r="Y102" s="53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53"/>
      <c r="AV102" s="53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53"/>
      <c r="BS102" s="53"/>
    </row>
    <row r="103" spans="1:85" ht="15" customHeight="1" x14ac:dyDescent="0.25">
      <c r="A103" s="53"/>
      <c r="B103" s="53"/>
      <c r="C103" s="119" t="s">
        <v>32</v>
      </c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53"/>
      <c r="Y103" s="53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53"/>
      <c r="AV103" s="53"/>
      <c r="AW103" s="116" t="s">
        <v>33</v>
      </c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53"/>
      <c r="BS103" s="53"/>
    </row>
    <row r="104" spans="1:85" ht="15" customHeight="1" x14ac:dyDescent="0.25">
      <c r="A104" s="53"/>
      <c r="B104" s="53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53"/>
      <c r="Y104" s="53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53"/>
      <c r="AV104" s="53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53"/>
      <c r="BS104" s="53"/>
    </row>
    <row r="105" spans="1:85" ht="15" customHeight="1" x14ac:dyDescent="0.25">
      <c r="A105" s="53"/>
      <c r="B105" s="53"/>
      <c r="C105" s="120" t="s">
        <v>33</v>
      </c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53"/>
      <c r="Y105" s="53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53"/>
      <c r="AV105" s="53"/>
      <c r="AW105" s="35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6"/>
      <c r="BR105" s="53"/>
      <c r="BS105" s="53"/>
    </row>
    <row r="106" spans="1:85" ht="15" customHeight="1" x14ac:dyDescent="0.25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7" t="s">
        <v>41</v>
      </c>
      <c r="BU106" s="198" t="s">
        <v>38</v>
      </c>
      <c r="BV106" s="199"/>
      <c r="BW106" s="199"/>
      <c r="BX106" s="200"/>
      <c r="BY106" s="198" t="s">
        <v>39</v>
      </c>
      <c r="BZ106" s="199"/>
      <c r="CA106" s="199"/>
      <c r="CB106" s="200"/>
      <c r="CC106" s="198" t="s">
        <v>40</v>
      </c>
      <c r="CD106" s="199"/>
      <c r="CE106" s="199"/>
      <c r="CF106" s="200"/>
      <c r="CG106" t="s">
        <v>42</v>
      </c>
    </row>
    <row r="107" spans="1:85" ht="15" customHeight="1" x14ac:dyDescent="0.25">
      <c r="A107" s="53"/>
      <c r="B107" s="53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53"/>
      <c r="Y107" s="53"/>
      <c r="Z107" s="69" t="s">
        <v>0</v>
      </c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53"/>
      <c r="AV107" s="53"/>
      <c r="AW107" s="29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53"/>
      <c r="BS107" s="53"/>
      <c r="BT107" s="58" t="s">
        <v>19</v>
      </c>
      <c r="BU107" s="61" t="str">
        <f ca="1">CELL("address",$C107)</f>
        <v>$C$107</v>
      </c>
      <c r="BV107" s="61" t="str">
        <f ca="1">CELL("address",$W126)</f>
        <v>$W$126</v>
      </c>
      <c r="BW107" s="61" t="b">
        <f ca="1">IF(CELL("contents",INDIRECT($BU107))&lt;&gt;"X",TRUE,FALSE)</f>
        <v>1</v>
      </c>
      <c r="BX107" s="60" t="str">
        <f ca="1">CONCATENATE(BU107,":",BV107)</f>
        <v>$C$107:$W$126</v>
      </c>
      <c r="BY107" s="61" t="str">
        <f ca="1">CELL("address",$Z107)</f>
        <v>$Z$107</v>
      </c>
      <c r="BZ107" s="61" t="str">
        <f ca="1">CELL("address",$AT126)</f>
        <v>$AT$126</v>
      </c>
      <c r="CA107" s="61" t="b">
        <f ca="1">IF(CELL("contents",INDIRECT($BY107))&lt;&gt;"X",TRUE,FALSE)</f>
        <v>0</v>
      </c>
      <c r="CB107" s="60" t="str">
        <f ca="1">CONCATENATE(BY107,":",BZ107)</f>
        <v>$Z$107:$AT$126</v>
      </c>
      <c r="CC107" s="61" t="str">
        <f ca="1">CELL("address",$AW107)</f>
        <v>$AW$107</v>
      </c>
      <c r="CD107" s="61" t="str">
        <f ca="1">CELL("address",$BQ126)</f>
        <v>$BQ$126</v>
      </c>
      <c r="CE107" s="61" t="b">
        <f ca="1">IF(CELL("contents",INDIRECT($CC107))&lt;&gt;"X",TRUE,FALSE)</f>
        <v>1</v>
      </c>
      <c r="CF107" s="60" t="str">
        <f ca="1">CONCATENATE(CC107,":",CD107)</f>
        <v>$AW$107:$BQ$126</v>
      </c>
      <c r="CG107">
        <f ca="1">_xlfn.IFNA(IF($BW:$BW=TRUE,1+MAX($CG$1:CG106),""),"")</f>
        <v>6</v>
      </c>
    </row>
    <row r="108" spans="1:85" ht="15" customHeight="1" x14ac:dyDescent="0.25">
      <c r="A108" s="53"/>
      <c r="B108" s="53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53"/>
      <c r="Y108" s="53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53"/>
      <c r="AV108" s="53"/>
      <c r="AW108" s="29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53"/>
      <c r="BS108" s="53"/>
      <c r="BU108" s="58"/>
      <c r="BV108" s="58"/>
      <c r="BW108" s="58"/>
      <c r="BX108" s="50"/>
      <c r="BY108" s="58"/>
      <c r="BZ108" s="58"/>
      <c r="CA108" s="58"/>
      <c r="CB108" s="50"/>
      <c r="CC108" s="58"/>
      <c r="CD108" s="58"/>
      <c r="CE108" s="58"/>
    </row>
    <row r="109" spans="1:85" ht="15" customHeight="1" x14ac:dyDescent="0.25">
      <c r="A109" s="53"/>
      <c r="B109" s="5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53"/>
      <c r="Y109" s="53"/>
      <c r="Z109" s="69"/>
      <c r="AA109" s="69"/>
      <c r="AB109" s="69"/>
      <c r="AC109" s="69"/>
      <c r="AD109" s="69"/>
      <c r="AE109" s="69"/>
      <c r="AF109" s="69"/>
      <c r="AG109" s="69"/>
      <c r="AH109" s="69"/>
      <c r="AI109" s="69"/>
      <c r="AJ109" s="69"/>
      <c r="AK109" s="69"/>
      <c r="AL109" s="69"/>
      <c r="AM109" s="69"/>
      <c r="AN109" s="69"/>
      <c r="AO109" s="69"/>
      <c r="AP109" s="69"/>
      <c r="AQ109" s="69"/>
      <c r="AR109" s="69"/>
      <c r="AS109" s="69"/>
      <c r="AT109" s="69"/>
      <c r="AU109" s="53"/>
      <c r="AV109" s="53"/>
      <c r="AW109" s="29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0"/>
      <c r="BR109" s="53"/>
      <c r="BS109" s="53"/>
    </row>
    <row r="110" spans="1:85" ht="15" customHeight="1" x14ac:dyDescent="0.25">
      <c r="A110" s="53"/>
      <c r="B110" s="53"/>
      <c r="C110" s="124" t="s">
        <v>19</v>
      </c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53"/>
      <c r="Y110" s="53"/>
      <c r="Z110" s="69"/>
      <c r="AA110" s="69"/>
      <c r="AB110" s="69"/>
      <c r="AC110" s="69"/>
      <c r="AD110" s="69"/>
      <c r="AE110" s="69"/>
      <c r="AF110" s="69"/>
      <c r="AG110" s="69"/>
      <c r="AH110" s="69"/>
      <c r="AI110" s="69"/>
      <c r="AJ110" s="69"/>
      <c r="AK110" s="69"/>
      <c r="AL110" s="69"/>
      <c r="AM110" s="69"/>
      <c r="AN110" s="69"/>
      <c r="AO110" s="69"/>
      <c r="AP110" s="69"/>
      <c r="AQ110" s="69"/>
      <c r="AR110" s="69"/>
      <c r="AS110" s="69"/>
      <c r="AT110" s="69"/>
      <c r="AU110" s="53"/>
      <c r="AV110" s="53"/>
      <c r="AW110" s="124" t="s">
        <v>20</v>
      </c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53"/>
      <c r="BS110" s="53"/>
    </row>
    <row r="111" spans="1:85" ht="15" customHeight="1" x14ac:dyDescent="0.25">
      <c r="A111" s="53"/>
      <c r="B111" s="53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53"/>
      <c r="Y111" s="53"/>
      <c r="Z111" s="69"/>
      <c r="AA111" s="69"/>
      <c r="AB111" s="69"/>
      <c r="AC111" s="69"/>
      <c r="AD111" s="69"/>
      <c r="AE111" s="69"/>
      <c r="AF111" s="69"/>
      <c r="AG111" s="69"/>
      <c r="AH111" s="69"/>
      <c r="AI111" s="69"/>
      <c r="AJ111" s="69"/>
      <c r="AK111" s="69"/>
      <c r="AL111" s="69"/>
      <c r="AM111" s="69"/>
      <c r="AN111" s="69"/>
      <c r="AO111" s="69"/>
      <c r="AP111" s="69"/>
      <c r="AQ111" s="69"/>
      <c r="AR111" s="69"/>
      <c r="AS111" s="69"/>
      <c r="AT111" s="69"/>
      <c r="AU111" s="53"/>
      <c r="AV111" s="53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53"/>
      <c r="BS111" s="53"/>
    </row>
    <row r="112" spans="1:85" ht="15" customHeight="1" thickBot="1" x14ac:dyDescent="0.3">
      <c r="A112" s="53"/>
      <c r="B112" s="53"/>
      <c r="C112" s="2"/>
      <c r="D112" s="2"/>
      <c r="E112" s="2"/>
      <c r="F112" s="2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"/>
      <c r="U112" s="2"/>
      <c r="V112" s="2"/>
      <c r="W112" s="2"/>
      <c r="X112" s="53"/>
      <c r="Y112" s="53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53"/>
      <c r="AV112" s="53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2"/>
      <c r="BR112" s="53"/>
      <c r="BS112" s="53"/>
    </row>
    <row r="113" spans="1:85" ht="15" customHeight="1" thickBot="1" x14ac:dyDescent="0.3">
      <c r="A113" s="53"/>
      <c r="B113" s="53"/>
      <c r="C113" s="2"/>
      <c r="D113" s="2"/>
      <c r="E113" s="2"/>
      <c r="F113" s="2"/>
      <c r="G113" s="2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2"/>
      <c r="T113" s="2"/>
      <c r="U113" s="2"/>
      <c r="V113" s="2"/>
      <c r="W113" s="2"/>
      <c r="X113" s="53"/>
      <c r="Y113" s="53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53"/>
      <c r="AV113" s="53"/>
      <c r="AW113" s="1"/>
      <c r="AX113" s="1"/>
      <c r="AY113" s="84" t="s">
        <v>21</v>
      </c>
      <c r="AZ113" s="84"/>
      <c r="BA113" s="84"/>
      <c r="BB113" s="84"/>
      <c r="BC113" s="84"/>
      <c r="BD113" s="84"/>
      <c r="BE113" s="84"/>
      <c r="BF113" s="123" t="s">
        <v>34</v>
      </c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48"/>
      <c r="BQ113" s="31"/>
      <c r="BR113" s="55"/>
      <c r="BS113" s="53"/>
    </row>
    <row r="114" spans="1:85" ht="15" customHeight="1" thickBot="1" x14ac:dyDescent="0.3">
      <c r="A114" s="53"/>
      <c r="B114" s="53"/>
      <c r="C114" s="2"/>
      <c r="D114" s="2"/>
      <c r="E114" s="2"/>
      <c r="F114" s="2"/>
      <c r="G114" s="2"/>
      <c r="H114" s="92" t="s">
        <v>37</v>
      </c>
      <c r="I114" s="93"/>
      <c r="J114" s="93"/>
      <c r="K114" s="93"/>
      <c r="L114" s="93"/>
      <c r="M114" s="93"/>
      <c r="N114" s="93"/>
      <c r="O114" s="93"/>
      <c r="P114" s="93"/>
      <c r="Q114" s="93"/>
      <c r="R114" s="94"/>
      <c r="S114" s="2"/>
      <c r="T114" s="2"/>
      <c r="U114" s="2"/>
      <c r="V114" s="2"/>
      <c r="W114" s="2"/>
      <c r="X114" s="53"/>
      <c r="Y114" s="53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53"/>
      <c r="AV114" s="53"/>
      <c r="AW114" s="1"/>
      <c r="AX114" s="49"/>
      <c r="AY114" s="84"/>
      <c r="AZ114" s="84"/>
      <c r="BA114" s="84"/>
      <c r="BB114" s="84"/>
      <c r="BC114" s="84"/>
      <c r="BD114" s="84"/>
      <c r="BE114" s="84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48"/>
      <c r="BQ114" s="31"/>
      <c r="BR114" s="55"/>
      <c r="BS114" s="53"/>
    </row>
    <row r="115" spans="1:85" ht="15" customHeight="1" thickBot="1" x14ac:dyDescent="0.3">
      <c r="A115" s="53"/>
      <c r="B115" s="53"/>
      <c r="C115" s="2"/>
      <c r="D115" s="2"/>
      <c r="E115" s="2"/>
      <c r="F115" s="2"/>
      <c r="G115" s="2"/>
      <c r="H115" s="95"/>
      <c r="I115" s="96"/>
      <c r="J115" s="96"/>
      <c r="K115" s="96"/>
      <c r="L115" s="96"/>
      <c r="M115" s="96"/>
      <c r="N115" s="96"/>
      <c r="O115" s="96"/>
      <c r="P115" s="96"/>
      <c r="Q115" s="96"/>
      <c r="R115" s="97"/>
      <c r="S115" s="2"/>
      <c r="T115" s="2"/>
      <c r="U115" s="2"/>
      <c r="V115" s="2"/>
      <c r="W115" s="2"/>
      <c r="X115" s="53"/>
      <c r="Y115" s="53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53"/>
      <c r="AV115" s="53"/>
      <c r="AW115" s="1"/>
      <c r="AX115" s="1"/>
      <c r="AY115" s="85" t="s">
        <v>22</v>
      </c>
      <c r="AZ115" s="85"/>
      <c r="BA115" s="85"/>
      <c r="BB115" s="85"/>
      <c r="BC115" s="85"/>
      <c r="BD115" s="85"/>
      <c r="BE115" s="85"/>
      <c r="BF115" s="123" t="s">
        <v>34</v>
      </c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48"/>
      <c r="BQ115" s="31"/>
      <c r="BR115" s="55"/>
      <c r="BS115" s="53"/>
    </row>
    <row r="116" spans="1:85" ht="15" customHeight="1" thickBot="1" x14ac:dyDescent="0.3">
      <c r="A116" s="53"/>
      <c r="B116" s="53"/>
      <c r="C116" s="2"/>
      <c r="D116" s="2"/>
      <c r="E116" s="2"/>
      <c r="F116" s="2"/>
      <c r="G116" s="2"/>
      <c r="H116" s="95"/>
      <c r="I116" s="96"/>
      <c r="J116" s="96"/>
      <c r="K116" s="96"/>
      <c r="L116" s="96"/>
      <c r="M116" s="96"/>
      <c r="N116" s="96"/>
      <c r="O116" s="96"/>
      <c r="P116" s="96"/>
      <c r="Q116" s="96"/>
      <c r="R116" s="97"/>
      <c r="S116" s="2"/>
      <c r="T116" s="2"/>
      <c r="U116" s="2"/>
      <c r="V116" s="2"/>
      <c r="W116" s="2"/>
      <c r="X116" s="53"/>
      <c r="Y116" s="53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  <c r="AM116" s="69"/>
      <c r="AN116" s="69"/>
      <c r="AO116" s="69"/>
      <c r="AP116" s="69"/>
      <c r="AQ116" s="69"/>
      <c r="AR116" s="69"/>
      <c r="AS116" s="69"/>
      <c r="AT116" s="69"/>
      <c r="AU116" s="53"/>
      <c r="AV116" s="53"/>
      <c r="AW116" s="1"/>
      <c r="AX116" s="1"/>
      <c r="AY116" s="85"/>
      <c r="AZ116" s="85"/>
      <c r="BA116" s="85"/>
      <c r="BB116" s="85"/>
      <c r="BC116" s="85"/>
      <c r="BD116" s="85"/>
      <c r="BE116" s="85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48"/>
      <c r="BQ116" s="31"/>
      <c r="BR116" s="55"/>
      <c r="BS116" s="53"/>
    </row>
    <row r="117" spans="1:85" ht="15" customHeight="1" thickBot="1" x14ac:dyDescent="0.3">
      <c r="A117" s="53"/>
      <c r="B117" s="53"/>
      <c r="C117" s="2"/>
      <c r="D117" s="2"/>
      <c r="E117" s="2"/>
      <c r="F117" s="2"/>
      <c r="G117" s="2"/>
      <c r="H117" s="95"/>
      <c r="I117" s="96"/>
      <c r="J117" s="96"/>
      <c r="K117" s="96"/>
      <c r="L117" s="96"/>
      <c r="M117" s="96"/>
      <c r="N117" s="96"/>
      <c r="O117" s="96"/>
      <c r="P117" s="96"/>
      <c r="Q117" s="96"/>
      <c r="R117" s="97"/>
      <c r="S117" s="2"/>
      <c r="T117" s="2"/>
      <c r="U117" s="2"/>
      <c r="V117" s="2"/>
      <c r="W117" s="2"/>
      <c r="X117" s="53"/>
      <c r="Y117" s="53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9"/>
      <c r="AM117" s="69"/>
      <c r="AN117" s="69"/>
      <c r="AO117" s="69"/>
      <c r="AP117" s="69"/>
      <c r="AQ117" s="69"/>
      <c r="AR117" s="69"/>
      <c r="AS117" s="69"/>
      <c r="AT117" s="69"/>
      <c r="AU117" s="53"/>
      <c r="AV117" s="53"/>
      <c r="AW117" s="1"/>
      <c r="AX117" s="1"/>
      <c r="AY117" s="84" t="s">
        <v>23</v>
      </c>
      <c r="AZ117" s="84"/>
      <c r="BA117" s="84"/>
      <c r="BB117" s="84"/>
      <c r="BC117" s="84"/>
      <c r="BD117" s="84"/>
      <c r="BE117" s="84"/>
      <c r="BF117" s="123" t="s">
        <v>34</v>
      </c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48"/>
      <c r="BQ117" s="31"/>
      <c r="BR117" s="55"/>
      <c r="BS117" s="53"/>
    </row>
    <row r="118" spans="1:85" ht="15" customHeight="1" thickBot="1" x14ac:dyDescent="0.3">
      <c r="A118" s="53"/>
      <c r="B118" s="53"/>
      <c r="C118" s="2"/>
      <c r="D118" s="2"/>
      <c r="E118" s="2"/>
      <c r="F118" s="2"/>
      <c r="G118" s="2"/>
      <c r="H118" s="95"/>
      <c r="I118" s="96"/>
      <c r="J118" s="96"/>
      <c r="K118" s="96"/>
      <c r="L118" s="96"/>
      <c r="M118" s="96"/>
      <c r="N118" s="96"/>
      <c r="O118" s="96"/>
      <c r="P118" s="96"/>
      <c r="Q118" s="96"/>
      <c r="R118" s="97"/>
      <c r="S118" s="2"/>
      <c r="T118" s="2"/>
      <c r="U118" s="2"/>
      <c r="V118" s="2"/>
      <c r="W118" s="2"/>
      <c r="X118" s="53"/>
      <c r="Y118" s="53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53"/>
      <c r="AV118" s="53"/>
      <c r="AW118" s="1"/>
      <c r="AX118" s="1"/>
      <c r="AY118" s="84"/>
      <c r="AZ118" s="84"/>
      <c r="BA118" s="84"/>
      <c r="BB118" s="84"/>
      <c r="BC118" s="84"/>
      <c r="BD118" s="84"/>
      <c r="BE118" s="84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48"/>
      <c r="BQ118" s="31"/>
      <c r="BR118" s="55"/>
      <c r="BS118" s="53"/>
    </row>
    <row r="119" spans="1:85" ht="15" customHeight="1" thickBot="1" x14ac:dyDescent="0.3">
      <c r="A119" s="53"/>
      <c r="B119" s="53"/>
      <c r="C119" s="2"/>
      <c r="D119" s="2"/>
      <c r="E119" s="2"/>
      <c r="F119" s="2"/>
      <c r="G119" s="2"/>
      <c r="H119" s="95"/>
      <c r="I119" s="96"/>
      <c r="J119" s="96"/>
      <c r="K119" s="96"/>
      <c r="L119" s="96"/>
      <c r="M119" s="96"/>
      <c r="N119" s="96"/>
      <c r="O119" s="96"/>
      <c r="P119" s="96"/>
      <c r="Q119" s="96"/>
      <c r="R119" s="97"/>
      <c r="S119" s="2"/>
      <c r="T119" s="2"/>
      <c r="U119" s="2"/>
      <c r="V119" s="2"/>
      <c r="W119" s="2"/>
      <c r="X119" s="53"/>
      <c r="Y119" s="53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  <c r="AM119" s="69"/>
      <c r="AN119" s="69"/>
      <c r="AO119" s="69"/>
      <c r="AP119" s="69"/>
      <c r="AQ119" s="69"/>
      <c r="AR119" s="69"/>
      <c r="AS119" s="69"/>
      <c r="AT119" s="69"/>
      <c r="AU119" s="53"/>
      <c r="AV119" s="53"/>
      <c r="AW119" s="1"/>
      <c r="AX119" s="1"/>
      <c r="AY119" s="87" t="s">
        <v>24</v>
      </c>
      <c r="AZ119" s="87"/>
      <c r="BA119" s="87"/>
      <c r="BB119" s="87"/>
      <c r="BC119" s="87"/>
      <c r="BD119" s="87"/>
      <c r="BE119" s="87"/>
      <c r="BF119" s="123" t="s">
        <v>34</v>
      </c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31"/>
      <c r="BQ119" s="31"/>
      <c r="BR119" s="55"/>
      <c r="BS119" s="53"/>
    </row>
    <row r="120" spans="1:85" ht="15" customHeight="1" thickBot="1" x14ac:dyDescent="0.3">
      <c r="A120" s="53"/>
      <c r="B120" s="53"/>
      <c r="C120" s="2"/>
      <c r="D120" s="2"/>
      <c r="E120" s="2"/>
      <c r="F120" s="2"/>
      <c r="G120" s="2"/>
      <c r="H120" s="95"/>
      <c r="I120" s="96"/>
      <c r="J120" s="96"/>
      <c r="K120" s="96"/>
      <c r="L120" s="96"/>
      <c r="M120" s="96"/>
      <c r="N120" s="96"/>
      <c r="O120" s="96"/>
      <c r="P120" s="96"/>
      <c r="Q120" s="96"/>
      <c r="R120" s="97"/>
      <c r="S120" s="2"/>
      <c r="T120" s="2"/>
      <c r="U120" s="2"/>
      <c r="V120" s="2"/>
      <c r="W120" s="2"/>
      <c r="X120" s="53"/>
      <c r="Y120" s="53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53"/>
      <c r="AV120" s="53"/>
      <c r="AW120" s="1"/>
      <c r="AX120" s="1"/>
      <c r="AY120" s="87"/>
      <c r="AZ120" s="87"/>
      <c r="BA120" s="87"/>
      <c r="BB120" s="87"/>
      <c r="BC120" s="87"/>
      <c r="BD120" s="87"/>
      <c r="BE120" s="87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31"/>
      <c r="BQ120" s="31"/>
      <c r="BR120" s="55"/>
      <c r="BS120" s="53"/>
    </row>
    <row r="121" spans="1:85" ht="15" customHeight="1" thickBot="1" x14ac:dyDescent="0.3">
      <c r="A121" s="53"/>
      <c r="B121" s="53"/>
      <c r="C121" s="1"/>
      <c r="D121" s="1"/>
      <c r="E121" s="1"/>
      <c r="F121" s="1"/>
      <c r="G121" s="1"/>
      <c r="H121" s="98"/>
      <c r="I121" s="99"/>
      <c r="J121" s="99"/>
      <c r="K121" s="99"/>
      <c r="L121" s="99"/>
      <c r="M121" s="99"/>
      <c r="N121" s="99"/>
      <c r="O121" s="99"/>
      <c r="P121" s="99"/>
      <c r="Q121" s="99"/>
      <c r="R121" s="100"/>
      <c r="S121" s="1"/>
      <c r="T121" s="1"/>
      <c r="U121" s="1"/>
      <c r="V121" s="1"/>
      <c r="W121" s="1"/>
      <c r="X121" s="53"/>
      <c r="Y121" s="53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53"/>
      <c r="AV121" s="53"/>
      <c r="AW121" s="1"/>
      <c r="AX121" s="1"/>
      <c r="AY121" s="86" t="s">
        <v>25</v>
      </c>
      <c r="AZ121" s="86"/>
      <c r="BA121" s="86"/>
      <c r="BB121" s="86"/>
      <c r="BC121" s="86"/>
      <c r="BD121" s="86"/>
      <c r="BE121" s="86"/>
      <c r="BF121" s="123" t="s">
        <v>34</v>
      </c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31"/>
      <c r="BQ121" s="31"/>
      <c r="BR121" s="55"/>
      <c r="BS121" s="53"/>
    </row>
    <row r="122" spans="1:85" ht="15" customHeight="1" thickBot="1" x14ac:dyDescent="0.3">
      <c r="A122" s="53"/>
      <c r="B122" s="53"/>
      <c r="C122" s="73" t="s">
        <v>31</v>
      </c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53"/>
      <c r="Y122" s="53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53"/>
      <c r="AV122" s="53"/>
      <c r="AW122" s="1"/>
      <c r="AX122" s="1"/>
      <c r="AY122" s="86"/>
      <c r="AZ122" s="86"/>
      <c r="BA122" s="86"/>
      <c r="BB122" s="86"/>
      <c r="BC122" s="86"/>
      <c r="BD122" s="86"/>
      <c r="BE122" s="86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31"/>
      <c r="BQ122" s="31"/>
      <c r="BR122" s="55"/>
      <c r="BS122" s="53"/>
    </row>
    <row r="123" spans="1:85" ht="15" customHeight="1" thickBot="1" x14ac:dyDescent="0.3">
      <c r="A123" s="53"/>
      <c r="B123" s="5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53"/>
      <c r="Y123" s="53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53"/>
      <c r="AV123" s="53"/>
      <c r="AW123" s="1"/>
      <c r="AX123" s="1"/>
      <c r="AY123" s="88" t="s">
        <v>26</v>
      </c>
      <c r="AZ123" s="88"/>
      <c r="BA123" s="88"/>
      <c r="BB123" s="88"/>
      <c r="BC123" s="88"/>
      <c r="BD123" s="88"/>
      <c r="BE123" s="88"/>
      <c r="BF123" s="123" t="s">
        <v>34</v>
      </c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31"/>
      <c r="BQ123" s="31"/>
      <c r="BR123" s="55"/>
      <c r="BS123" s="53"/>
    </row>
    <row r="124" spans="1:85" ht="15" customHeight="1" thickBot="1" x14ac:dyDescent="0.3">
      <c r="A124" s="53"/>
      <c r="B124" s="53"/>
      <c r="C124" s="74" t="s">
        <v>32</v>
      </c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53"/>
      <c r="Y124" s="53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53"/>
      <c r="AV124" s="53"/>
      <c r="AW124" s="1"/>
      <c r="AX124" s="1"/>
      <c r="AY124" s="88"/>
      <c r="AZ124" s="88"/>
      <c r="BA124" s="88"/>
      <c r="BB124" s="88"/>
      <c r="BC124" s="88"/>
      <c r="BD124" s="88"/>
      <c r="BE124" s="88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31"/>
      <c r="BQ124" s="31"/>
      <c r="BR124" s="55"/>
      <c r="BS124" s="53"/>
    </row>
    <row r="125" spans="1:85" ht="15" customHeight="1" x14ac:dyDescent="0.25">
      <c r="A125" s="53"/>
      <c r="B125" s="53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53"/>
      <c r="Y125" s="53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  <c r="AM125" s="69"/>
      <c r="AN125" s="69"/>
      <c r="AO125" s="69"/>
      <c r="AP125" s="69"/>
      <c r="AQ125" s="69"/>
      <c r="AR125" s="69"/>
      <c r="AS125" s="69"/>
      <c r="AT125" s="69"/>
      <c r="AU125" s="53"/>
      <c r="AV125" s="53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2"/>
      <c r="BR125" s="53"/>
      <c r="BS125" s="53"/>
    </row>
    <row r="126" spans="1:85" ht="15" customHeight="1" x14ac:dyDescent="0.25">
      <c r="A126" s="53"/>
      <c r="B126" s="53"/>
      <c r="C126" s="71" t="s">
        <v>33</v>
      </c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53"/>
      <c r="Y126" s="53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  <c r="AM126" s="69"/>
      <c r="AN126" s="69"/>
      <c r="AO126" s="69"/>
      <c r="AP126" s="69"/>
      <c r="AQ126" s="69"/>
      <c r="AR126" s="69"/>
      <c r="AS126" s="69"/>
      <c r="AT126" s="69"/>
      <c r="AU126" s="53"/>
      <c r="AV126" s="53"/>
      <c r="AW126" s="72" t="s">
        <v>33</v>
      </c>
      <c r="AX126" s="72"/>
      <c r="AY126" s="72"/>
      <c r="AZ126" s="72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  <c r="BL126" s="72"/>
      <c r="BM126" s="72"/>
      <c r="BN126" s="72"/>
      <c r="BO126" s="72"/>
      <c r="BP126" s="72"/>
      <c r="BQ126" s="72"/>
      <c r="BR126" s="53"/>
      <c r="BS126" s="53"/>
    </row>
    <row r="127" spans="1:85" ht="15" customHeight="1" x14ac:dyDescent="0.25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7" t="s">
        <v>41</v>
      </c>
      <c r="BU127" s="198" t="s">
        <v>38</v>
      </c>
      <c r="BV127" s="199"/>
      <c r="BW127" s="199"/>
      <c r="BX127" s="200"/>
      <c r="BY127" s="198" t="s">
        <v>39</v>
      </c>
      <c r="BZ127" s="199"/>
      <c r="CA127" s="199"/>
      <c r="CB127" s="200"/>
      <c r="CC127" s="198" t="s">
        <v>40</v>
      </c>
      <c r="CD127" s="199"/>
      <c r="CE127" s="199"/>
      <c r="CF127" s="200"/>
      <c r="CG127" t="s">
        <v>42</v>
      </c>
    </row>
    <row r="128" spans="1:85" ht="15" customHeight="1" x14ac:dyDescent="0.25">
      <c r="A128" s="53"/>
      <c r="B128" s="53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53"/>
      <c r="Y128" s="53"/>
      <c r="Z128" s="69" t="s">
        <v>0</v>
      </c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53"/>
      <c r="AV128" s="53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53"/>
      <c r="BS128" s="53"/>
      <c r="BT128" s="58" t="s">
        <v>29</v>
      </c>
      <c r="BU128" s="61" t="str">
        <f ca="1">CELL("address",$C128)</f>
        <v>$C$128</v>
      </c>
      <c r="BV128" s="61" t="str">
        <f ca="1">CELL("address",$W147)</f>
        <v>$W$147</v>
      </c>
      <c r="BW128" s="61" t="b">
        <f ca="1">IF(CELL("contents",INDIRECT($BU128))&lt;&gt;"X",TRUE,FALSE)</f>
        <v>1</v>
      </c>
      <c r="BX128" s="60" t="str">
        <f ca="1">CONCATENATE(BU128,":",BV128)</f>
        <v>$C$128:$W$147</v>
      </c>
      <c r="BY128" s="61" t="str">
        <f ca="1">CELL("address",$Z128)</f>
        <v>$Z$128</v>
      </c>
      <c r="BZ128" s="61" t="str">
        <f ca="1">CELL("address",$AT147)</f>
        <v>$AT$147</v>
      </c>
      <c r="CA128" s="61" t="b">
        <f ca="1">IF(CELL("contents",INDIRECT($BY128))&lt;&gt;"X",TRUE,FALSE)</f>
        <v>0</v>
      </c>
      <c r="CB128" s="60" t="str">
        <f ca="1">CONCATENATE(BY128,":",BZ128)</f>
        <v>$Z$128:$AT$147</v>
      </c>
      <c r="CC128" s="61" t="str">
        <f ca="1">CELL("address",$AW128)</f>
        <v>$AW$128</v>
      </c>
      <c r="CD128" s="61" t="str">
        <f ca="1">CELL("address",$BQ147)</f>
        <v>$BQ$147</v>
      </c>
      <c r="CE128" s="61" t="b">
        <f ca="1">IF(CELL("contents",INDIRECT($CC128))&lt;&gt;"X",TRUE,FALSE)</f>
        <v>1</v>
      </c>
      <c r="CF128" s="60" t="str">
        <f ca="1">CONCATENATE(CC128,":",CD128)</f>
        <v>$AW$128:$BQ$147</v>
      </c>
      <c r="CG128">
        <f ca="1">_xlfn.IFNA(IF($BW:$BW=TRUE,1+MAX($CG$1:CG127),""),"")</f>
        <v>7</v>
      </c>
    </row>
    <row r="129" spans="1:83" ht="15" customHeight="1" x14ac:dyDescent="0.25">
      <c r="A129" s="53"/>
      <c r="B129" s="53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53"/>
      <c r="Y129" s="53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53"/>
      <c r="AV129" s="53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53"/>
      <c r="BS129" s="53"/>
      <c r="BU129" s="58"/>
      <c r="BV129" s="58"/>
      <c r="BW129" s="58"/>
      <c r="BX129" s="50"/>
      <c r="BY129" s="58"/>
      <c r="BZ129" s="58"/>
      <c r="CA129" s="58"/>
      <c r="CB129" s="50"/>
      <c r="CC129" s="58"/>
      <c r="CD129" s="58"/>
      <c r="CE129" s="58"/>
    </row>
    <row r="130" spans="1:83" ht="15" customHeight="1" x14ac:dyDescent="0.25">
      <c r="A130" s="53"/>
      <c r="B130" s="53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53"/>
      <c r="Y130" s="53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53"/>
      <c r="AV130" s="53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53"/>
      <c r="BS130" s="53"/>
    </row>
    <row r="131" spans="1:83" ht="15" customHeight="1" x14ac:dyDescent="0.25">
      <c r="A131" s="53"/>
      <c r="B131" s="53"/>
      <c r="C131" s="89" t="s">
        <v>36</v>
      </c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53"/>
      <c r="Y131" s="53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9"/>
      <c r="AM131" s="69"/>
      <c r="AN131" s="69"/>
      <c r="AO131" s="69"/>
      <c r="AP131" s="69"/>
      <c r="AQ131" s="69"/>
      <c r="AR131" s="69"/>
      <c r="AS131" s="69"/>
      <c r="AT131" s="69"/>
      <c r="AU131" s="53"/>
      <c r="AV131" s="53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53"/>
      <c r="BS131" s="53"/>
    </row>
    <row r="132" spans="1:83" ht="15" customHeight="1" x14ac:dyDescent="0.25">
      <c r="A132" s="53"/>
      <c r="B132" s="53"/>
      <c r="C132" s="89" t="s">
        <v>35</v>
      </c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53"/>
      <c r="Y132" s="53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9"/>
      <c r="AM132" s="69"/>
      <c r="AN132" s="69"/>
      <c r="AO132" s="69"/>
      <c r="AP132" s="69"/>
      <c r="AQ132" s="69"/>
      <c r="AR132" s="69"/>
      <c r="AS132" s="69"/>
      <c r="AT132" s="69"/>
      <c r="AU132" s="53"/>
      <c r="AV132" s="53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53"/>
      <c r="BS132" s="53"/>
    </row>
    <row r="133" spans="1:83" ht="15" customHeight="1" x14ac:dyDescent="0.25">
      <c r="A133" s="53"/>
      <c r="B133" s="53"/>
      <c r="C133" s="77" t="s">
        <v>29</v>
      </c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53"/>
      <c r="Y133" s="53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  <c r="AM133" s="69"/>
      <c r="AN133" s="69"/>
      <c r="AO133" s="69"/>
      <c r="AP133" s="69"/>
      <c r="AQ133" s="69"/>
      <c r="AR133" s="69"/>
      <c r="AS133" s="69"/>
      <c r="AT133" s="69"/>
      <c r="AU133" s="53"/>
      <c r="AV133" s="53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53"/>
      <c r="BS133" s="53"/>
    </row>
    <row r="134" spans="1:83" ht="15" customHeight="1" x14ac:dyDescent="0.25">
      <c r="A134" s="53"/>
      <c r="B134" s="53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53"/>
      <c r="Y134" s="53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53"/>
      <c r="AV134" s="53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53"/>
      <c r="BS134" s="53"/>
    </row>
    <row r="135" spans="1:83" ht="15" customHeight="1" x14ac:dyDescent="0.25">
      <c r="A135" s="53"/>
      <c r="B135" s="53"/>
      <c r="C135" s="41"/>
      <c r="D135" s="41"/>
      <c r="E135" s="41"/>
      <c r="F135" s="41"/>
      <c r="G135" s="42"/>
      <c r="H135" s="92" t="s">
        <v>37</v>
      </c>
      <c r="I135" s="93"/>
      <c r="J135" s="93"/>
      <c r="K135" s="93"/>
      <c r="L135" s="93"/>
      <c r="M135" s="93"/>
      <c r="N135" s="93"/>
      <c r="O135" s="93"/>
      <c r="P135" s="93"/>
      <c r="Q135" s="93"/>
      <c r="R135" s="94"/>
      <c r="S135" s="51"/>
      <c r="T135" s="51"/>
      <c r="U135" s="51"/>
      <c r="V135" s="51"/>
      <c r="W135" s="51"/>
      <c r="X135" s="53"/>
      <c r="Y135" s="53"/>
      <c r="Z135" s="69"/>
      <c r="AA135" s="69"/>
      <c r="AB135" s="69"/>
      <c r="AC135" s="69"/>
      <c r="AD135" s="69"/>
      <c r="AE135" s="69"/>
      <c r="AF135" s="69"/>
      <c r="AG135" s="69"/>
      <c r="AH135" s="69"/>
      <c r="AI135" s="69"/>
      <c r="AJ135" s="69"/>
      <c r="AK135" s="69"/>
      <c r="AL135" s="69"/>
      <c r="AM135" s="69"/>
      <c r="AN135" s="69"/>
      <c r="AO135" s="69"/>
      <c r="AP135" s="69"/>
      <c r="AQ135" s="69"/>
      <c r="AR135" s="69"/>
      <c r="AS135" s="69"/>
      <c r="AT135" s="69"/>
      <c r="AU135" s="53"/>
      <c r="AV135" s="53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53"/>
      <c r="BS135" s="53"/>
    </row>
    <row r="136" spans="1:83" ht="15" customHeight="1" x14ac:dyDescent="0.25">
      <c r="A136" s="53"/>
      <c r="B136" s="53"/>
      <c r="C136" s="41"/>
      <c r="D136" s="41"/>
      <c r="E136" s="41"/>
      <c r="F136" s="41"/>
      <c r="G136" s="41"/>
      <c r="H136" s="95"/>
      <c r="I136" s="96"/>
      <c r="J136" s="96"/>
      <c r="K136" s="96"/>
      <c r="L136" s="96"/>
      <c r="M136" s="96"/>
      <c r="N136" s="96"/>
      <c r="O136" s="96"/>
      <c r="P136" s="96"/>
      <c r="Q136" s="96"/>
      <c r="R136" s="97"/>
      <c r="S136" s="51"/>
      <c r="T136" s="51"/>
      <c r="U136" s="51"/>
      <c r="V136" s="51"/>
      <c r="W136" s="51"/>
      <c r="X136" s="53"/>
      <c r="Y136" s="53"/>
      <c r="Z136" s="69"/>
      <c r="AA136" s="69"/>
      <c r="AB136" s="69"/>
      <c r="AC136" s="69"/>
      <c r="AD136" s="69"/>
      <c r="AE136" s="69"/>
      <c r="AF136" s="69"/>
      <c r="AG136" s="69"/>
      <c r="AH136" s="69"/>
      <c r="AI136" s="69"/>
      <c r="AJ136" s="69"/>
      <c r="AK136" s="69"/>
      <c r="AL136" s="69"/>
      <c r="AM136" s="69"/>
      <c r="AN136" s="69"/>
      <c r="AO136" s="69"/>
      <c r="AP136" s="69"/>
      <c r="AQ136" s="69"/>
      <c r="AR136" s="69"/>
      <c r="AS136" s="69"/>
      <c r="AT136" s="69"/>
      <c r="AU136" s="53"/>
      <c r="AV136" s="53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53"/>
      <c r="BS136" s="53"/>
    </row>
    <row r="137" spans="1:83" ht="15" customHeight="1" x14ac:dyDescent="0.25">
      <c r="A137" s="53"/>
      <c r="B137" s="53"/>
      <c r="C137" s="41"/>
      <c r="D137" s="41"/>
      <c r="E137" s="41"/>
      <c r="F137" s="41"/>
      <c r="G137" s="42"/>
      <c r="H137" s="95"/>
      <c r="I137" s="96"/>
      <c r="J137" s="96"/>
      <c r="K137" s="96"/>
      <c r="L137" s="96"/>
      <c r="M137" s="96"/>
      <c r="N137" s="96"/>
      <c r="O137" s="96"/>
      <c r="P137" s="96"/>
      <c r="Q137" s="96"/>
      <c r="R137" s="97"/>
      <c r="S137" s="51"/>
      <c r="T137" s="51"/>
      <c r="U137" s="51"/>
      <c r="V137" s="51"/>
      <c r="W137" s="51"/>
      <c r="X137" s="53"/>
      <c r="Y137" s="53"/>
      <c r="Z137" s="69"/>
      <c r="AA137" s="69"/>
      <c r="AB137" s="69"/>
      <c r="AC137" s="69"/>
      <c r="AD137" s="69"/>
      <c r="AE137" s="69"/>
      <c r="AF137" s="69"/>
      <c r="AG137" s="69"/>
      <c r="AH137" s="69"/>
      <c r="AI137" s="69"/>
      <c r="AJ137" s="69"/>
      <c r="AK137" s="69"/>
      <c r="AL137" s="69"/>
      <c r="AM137" s="69"/>
      <c r="AN137" s="69"/>
      <c r="AO137" s="69"/>
      <c r="AP137" s="69"/>
      <c r="AQ137" s="69"/>
      <c r="AR137" s="69"/>
      <c r="AS137" s="69"/>
      <c r="AT137" s="69"/>
      <c r="AU137" s="53"/>
      <c r="AV137" s="53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53"/>
      <c r="BS137" s="53"/>
    </row>
    <row r="138" spans="1:83" ht="15" customHeight="1" x14ac:dyDescent="0.25">
      <c r="A138" s="53"/>
      <c r="B138" s="53"/>
      <c r="C138" s="41"/>
      <c r="D138" s="41"/>
      <c r="E138" s="41"/>
      <c r="F138" s="41"/>
      <c r="G138" s="41"/>
      <c r="H138" s="95"/>
      <c r="I138" s="96"/>
      <c r="J138" s="96"/>
      <c r="K138" s="96"/>
      <c r="L138" s="96"/>
      <c r="M138" s="96"/>
      <c r="N138" s="96"/>
      <c r="O138" s="96"/>
      <c r="P138" s="96"/>
      <c r="Q138" s="96"/>
      <c r="R138" s="97"/>
      <c r="S138" s="51"/>
      <c r="T138" s="51"/>
      <c r="U138" s="51"/>
      <c r="V138" s="51"/>
      <c r="W138" s="51"/>
      <c r="X138" s="53"/>
      <c r="Y138" s="53"/>
      <c r="Z138" s="69"/>
      <c r="AA138" s="69"/>
      <c r="AB138" s="69"/>
      <c r="AC138" s="69"/>
      <c r="AD138" s="69"/>
      <c r="AE138" s="69"/>
      <c r="AF138" s="69"/>
      <c r="AG138" s="69"/>
      <c r="AH138" s="69"/>
      <c r="AI138" s="69"/>
      <c r="AJ138" s="69"/>
      <c r="AK138" s="69"/>
      <c r="AL138" s="69"/>
      <c r="AM138" s="69"/>
      <c r="AN138" s="69"/>
      <c r="AO138" s="69"/>
      <c r="AP138" s="69"/>
      <c r="AQ138" s="69"/>
      <c r="AR138" s="69"/>
      <c r="AS138" s="69"/>
      <c r="AT138" s="69"/>
      <c r="AU138" s="53"/>
      <c r="AV138" s="53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53"/>
      <c r="BS138" s="53"/>
    </row>
    <row r="139" spans="1:83" ht="15" customHeight="1" x14ac:dyDescent="0.25">
      <c r="A139" s="53"/>
      <c r="B139" s="53"/>
      <c r="C139" s="41"/>
      <c r="D139" s="41"/>
      <c r="E139" s="41"/>
      <c r="F139" s="41"/>
      <c r="G139" s="42"/>
      <c r="H139" s="95"/>
      <c r="I139" s="96"/>
      <c r="J139" s="96"/>
      <c r="K139" s="96"/>
      <c r="L139" s="96"/>
      <c r="M139" s="96"/>
      <c r="N139" s="96"/>
      <c r="O139" s="96"/>
      <c r="P139" s="96"/>
      <c r="Q139" s="96"/>
      <c r="R139" s="97"/>
      <c r="S139" s="51"/>
      <c r="T139" s="51"/>
      <c r="U139" s="51"/>
      <c r="V139" s="51"/>
      <c r="W139" s="51"/>
      <c r="X139" s="53"/>
      <c r="Y139" s="53"/>
      <c r="Z139" s="69"/>
      <c r="AA139" s="69"/>
      <c r="AB139" s="69"/>
      <c r="AC139" s="69"/>
      <c r="AD139" s="69"/>
      <c r="AE139" s="69"/>
      <c r="AF139" s="69"/>
      <c r="AG139" s="69"/>
      <c r="AH139" s="69"/>
      <c r="AI139" s="69"/>
      <c r="AJ139" s="69"/>
      <c r="AK139" s="69"/>
      <c r="AL139" s="69"/>
      <c r="AM139" s="69"/>
      <c r="AN139" s="69"/>
      <c r="AO139" s="69"/>
      <c r="AP139" s="69"/>
      <c r="AQ139" s="69"/>
      <c r="AR139" s="69"/>
      <c r="AS139" s="69"/>
      <c r="AT139" s="69"/>
      <c r="AU139" s="53"/>
      <c r="AV139" s="53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53"/>
      <c r="BS139" s="53"/>
    </row>
    <row r="140" spans="1:83" ht="15" customHeight="1" x14ac:dyDescent="0.25">
      <c r="A140" s="53"/>
      <c r="B140" s="53"/>
      <c r="C140" s="41"/>
      <c r="D140" s="41"/>
      <c r="E140" s="41"/>
      <c r="F140" s="41"/>
      <c r="G140" s="41"/>
      <c r="H140" s="95"/>
      <c r="I140" s="96"/>
      <c r="J140" s="96"/>
      <c r="K140" s="96"/>
      <c r="L140" s="96"/>
      <c r="M140" s="96"/>
      <c r="N140" s="96"/>
      <c r="O140" s="96"/>
      <c r="P140" s="96"/>
      <c r="Q140" s="96"/>
      <c r="R140" s="97"/>
      <c r="S140" s="51"/>
      <c r="T140" s="51"/>
      <c r="U140" s="51"/>
      <c r="V140" s="51"/>
      <c r="W140" s="51"/>
      <c r="X140" s="53"/>
      <c r="Y140" s="53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9"/>
      <c r="AM140" s="69"/>
      <c r="AN140" s="69"/>
      <c r="AO140" s="69"/>
      <c r="AP140" s="69"/>
      <c r="AQ140" s="69"/>
      <c r="AR140" s="69"/>
      <c r="AS140" s="69"/>
      <c r="AT140" s="69"/>
      <c r="AU140" s="53"/>
      <c r="AV140" s="53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53"/>
      <c r="BS140" s="53"/>
    </row>
    <row r="141" spans="1:83" ht="15" customHeight="1" x14ac:dyDescent="0.25">
      <c r="A141" s="53"/>
      <c r="B141" s="53"/>
      <c r="C141" s="41"/>
      <c r="D141" s="41"/>
      <c r="E141" s="41"/>
      <c r="F141" s="41"/>
      <c r="G141" s="42"/>
      <c r="H141" s="95"/>
      <c r="I141" s="96"/>
      <c r="J141" s="96"/>
      <c r="K141" s="96"/>
      <c r="L141" s="96"/>
      <c r="M141" s="96"/>
      <c r="N141" s="96"/>
      <c r="O141" s="96"/>
      <c r="P141" s="96"/>
      <c r="Q141" s="96"/>
      <c r="R141" s="97"/>
      <c r="S141" s="51"/>
      <c r="T141" s="51"/>
      <c r="U141" s="51"/>
      <c r="V141" s="51"/>
      <c r="W141" s="51"/>
      <c r="X141" s="53"/>
      <c r="Y141" s="53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53"/>
      <c r="AV141" s="53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53"/>
      <c r="BS141" s="53"/>
    </row>
    <row r="142" spans="1:83" ht="15" customHeight="1" x14ac:dyDescent="0.25">
      <c r="A142" s="53"/>
      <c r="B142" s="53"/>
      <c r="C142" s="1"/>
      <c r="D142" s="1"/>
      <c r="E142" s="1"/>
      <c r="F142" s="1"/>
      <c r="G142" s="1"/>
      <c r="H142" s="98"/>
      <c r="I142" s="99"/>
      <c r="J142" s="99"/>
      <c r="K142" s="99"/>
      <c r="L142" s="99"/>
      <c r="M142" s="99"/>
      <c r="N142" s="99"/>
      <c r="O142" s="99"/>
      <c r="P142" s="99"/>
      <c r="Q142" s="99"/>
      <c r="R142" s="100"/>
      <c r="S142" s="51"/>
      <c r="T142" s="51"/>
      <c r="U142" s="51"/>
      <c r="V142" s="51"/>
      <c r="W142" s="51"/>
      <c r="X142" s="53"/>
      <c r="Y142" s="53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  <c r="AM142" s="69"/>
      <c r="AN142" s="69"/>
      <c r="AO142" s="69"/>
      <c r="AP142" s="69"/>
      <c r="AQ142" s="69"/>
      <c r="AR142" s="69"/>
      <c r="AS142" s="69"/>
      <c r="AT142" s="69"/>
      <c r="AU142" s="53"/>
      <c r="AV142" s="53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53"/>
      <c r="BS142" s="53"/>
    </row>
    <row r="143" spans="1:83" ht="15" customHeight="1" x14ac:dyDescent="0.25">
      <c r="A143" s="53"/>
      <c r="B143" s="53"/>
      <c r="C143" s="73" t="s">
        <v>31</v>
      </c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53"/>
      <c r="Y143" s="53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9"/>
      <c r="AM143" s="69"/>
      <c r="AN143" s="69"/>
      <c r="AO143" s="69"/>
      <c r="AP143" s="69"/>
      <c r="AQ143" s="69"/>
      <c r="AR143" s="69"/>
      <c r="AS143" s="69"/>
      <c r="AT143" s="69"/>
      <c r="AU143" s="53"/>
      <c r="AV143" s="53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53"/>
      <c r="BS143" s="53"/>
    </row>
    <row r="144" spans="1:83" ht="15" customHeight="1" x14ac:dyDescent="0.25">
      <c r="A144" s="53"/>
      <c r="B144" s="5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53"/>
      <c r="Y144" s="53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  <c r="AM144" s="69"/>
      <c r="AN144" s="69"/>
      <c r="AO144" s="69"/>
      <c r="AP144" s="69"/>
      <c r="AQ144" s="69"/>
      <c r="AR144" s="69"/>
      <c r="AS144" s="69"/>
      <c r="AT144" s="69"/>
      <c r="AU144" s="53"/>
      <c r="AV144" s="53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53"/>
      <c r="BS144" s="53"/>
    </row>
    <row r="145" spans="1:85" ht="15" customHeight="1" x14ac:dyDescent="0.25">
      <c r="A145" s="53"/>
      <c r="B145" s="53"/>
      <c r="C145" s="74" t="s">
        <v>32</v>
      </c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53"/>
      <c r="Y145" s="53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9"/>
      <c r="AM145" s="69"/>
      <c r="AN145" s="69"/>
      <c r="AO145" s="69"/>
      <c r="AP145" s="69"/>
      <c r="AQ145" s="69"/>
      <c r="AR145" s="69"/>
      <c r="AS145" s="69"/>
      <c r="AT145" s="69"/>
      <c r="AU145" s="53"/>
      <c r="AV145" s="53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53"/>
      <c r="BS145" s="53"/>
    </row>
    <row r="146" spans="1:85" ht="15" customHeight="1" x14ac:dyDescent="0.25">
      <c r="A146" s="53"/>
      <c r="B146" s="53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53"/>
      <c r="Y146" s="53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53"/>
      <c r="AV146" s="53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53"/>
      <c r="BS146" s="53"/>
    </row>
    <row r="147" spans="1:85" ht="15" customHeight="1" x14ac:dyDescent="0.25">
      <c r="A147" s="53"/>
      <c r="B147" s="53"/>
      <c r="C147" s="71" t="s">
        <v>33</v>
      </c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53"/>
      <c r="Y147" s="53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  <c r="AM147" s="69"/>
      <c r="AN147" s="69"/>
      <c r="AO147" s="69"/>
      <c r="AP147" s="69"/>
      <c r="AQ147" s="69"/>
      <c r="AR147" s="69"/>
      <c r="AS147" s="69"/>
      <c r="AT147" s="69"/>
      <c r="AU147" s="53"/>
      <c r="AV147" s="53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53"/>
      <c r="BS147" s="53"/>
    </row>
    <row r="148" spans="1:85" ht="15" customHeight="1" x14ac:dyDescent="0.25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7" t="s">
        <v>41</v>
      </c>
      <c r="BU148" s="198" t="s">
        <v>38</v>
      </c>
      <c r="BV148" s="199"/>
      <c r="BW148" s="199"/>
      <c r="BX148" s="200"/>
      <c r="BY148" s="198" t="s">
        <v>39</v>
      </c>
      <c r="BZ148" s="199"/>
      <c r="CA148" s="199"/>
      <c r="CB148" s="200"/>
      <c r="CC148" s="198" t="s">
        <v>40</v>
      </c>
      <c r="CD148" s="199"/>
      <c r="CE148" s="199"/>
      <c r="CF148" s="200"/>
      <c r="CG148" t="s">
        <v>42</v>
      </c>
    </row>
    <row r="149" spans="1:85" ht="15" customHeight="1" x14ac:dyDescent="0.25">
      <c r="A149" s="53"/>
      <c r="B149" s="53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53"/>
      <c r="Y149" s="53"/>
      <c r="Z149" s="69" t="s">
        <v>0</v>
      </c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9"/>
      <c r="AM149" s="69"/>
      <c r="AN149" s="69"/>
      <c r="AO149" s="69"/>
      <c r="AP149" s="69"/>
      <c r="AQ149" s="69"/>
      <c r="AR149" s="69"/>
      <c r="AS149" s="69"/>
      <c r="AT149" s="69"/>
      <c r="AU149" s="53"/>
      <c r="AV149" s="53"/>
      <c r="AW149" s="137"/>
      <c r="AX149" s="137"/>
      <c r="AY149" s="137"/>
      <c r="AZ149" s="137"/>
      <c r="BA149" s="137"/>
      <c r="BB149" s="137"/>
      <c r="BC149" s="137"/>
      <c r="BD149" s="137"/>
      <c r="BE149" s="137"/>
      <c r="BF149" s="137"/>
      <c r="BG149" s="137"/>
      <c r="BH149" s="137"/>
      <c r="BI149" s="137"/>
      <c r="BJ149" s="137"/>
      <c r="BK149" s="137"/>
      <c r="BL149" s="137"/>
      <c r="BM149" s="137"/>
      <c r="BN149" s="137"/>
      <c r="BO149" s="137"/>
      <c r="BP149" s="137"/>
      <c r="BQ149" s="137"/>
      <c r="BR149" s="53"/>
      <c r="BS149" s="53"/>
      <c r="BT149" s="58" t="s">
        <v>28</v>
      </c>
      <c r="BU149" s="61" t="str">
        <f ca="1">CELL("address",$C149)</f>
        <v>$C$149</v>
      </c>
      <c r="BV149" s="61" t="str">
        <f ca="1">CELL("address",$W168)</f>
        <v>$W$168</v>
      </c>
      <c r="BW149" s="61" t="b">
        <f ca="1">IF(CELL("contents",INDIRECT($BU149))&lt;&gt;"X",TRUE,FALSE)</f>
        <v>1</v>
      </c>
      <c r="BX149" s="60" t="str">
        <f ca="1">CONCATENATE(BU149,":",BV149)</f>
        <v>$C$149:$W$168</v>
      </c>
      <c r="BY149" s="61" t="str">
        <f ca="1">CELL("address",$Z149)</f>
        <v>$Z$149</v>
      </c>
      <c r="BZ149" s="61" t="str">
        <f ca="1">CELL("address",$AT168)</f>
        <v>$AT$168</v>
      </c>
      <c r="CA149" s="61" t="b">
        <f ca="1">IF(CELL("contents",INDIRECT($BY149))&lt;&gt;"X",TRUE,FALSE)</f>
        <v>0</v>
      </c>
      <c r="CB149" s="60" t="str">
        <f ca="1">CONCATENATE(BY149,":",BZ149)</f>
        <v>$Z$149:$AT$168</v>
      </c>
      <c r="CC149" s="61" t="str">
        <f ca="1">CELL("address",$AW149)</f>
        <v>$AW$149</v>
      </c>
      <c r="CD149" s="61" t="str">
        <f ca="1">CELL("address",$BQ168)</f>
        <v>$BQ$168</v>
      </c>
      <c r="CE149" s="61" t="b">
        <f ca="1">IF(CELL("contents",INDIRECT($CC149))&lt;&gt;"X",TRUE,FALSE)</f>
        <v>1</v>
      </c>
      <c r="CF149" s="60" t="str">
        <f ca="1">CONCATENATE(CC149,":",CD149)</f>
        <v>$AW$149:$BQ$168</v>
      </c>
      <c r="CG149">
        <f ca="1">_xlfn.IFNA(IF($BW:$BW=TRUE,1+MAX($CG$1:CG148),""),"")</f>
        <v>8</v>
      </c>
    </row>
    <row r="150" spans="1:85" ht="15" customHeight="1" x14ac:dyDescent="0.25">
      <c r="A150" s="53"/>
      <c r="B150" s="53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53"/>
      <c r="Y150" s="53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53"/>
      <c r="AV150" s="53"/>
      <c r="AW150" s="137"/>
      <c r="AX150" s="137"/>
      <c r="AY150" s="137"/>
      <c r="AZ150" s="137"/>
      <c r="BA150" s="137"/>
      <c r="BB150" s="137"/>
      <c r="BC150" s="137"/>
      <c r="BD150" s="137"/>
      <c r="BE150" s="137"/>
      <c r="BF150" s="137"/>
      <c r="BG150" s="137"/>
      <c r="BH150" s="137"/>
      <c r="BI150" s="137"/>
      <c r="BJ150" s="137"/>
      <c r="BK150" s="137"/>
      <c r="BL150" s="137"/>
      <c r="BM150" s="137"/>
      <c r="BN150" s="137"/>
      <c r="BO150" s="137"/>
      <c r="BP150" s="137"/>
      <c r="BQ150" s="137"/>
      <c r="BR150" s="53"/>
      <c r="BS150" s="53"/>
      <c r="BU150" s="58"/>
      <c r="BV150" s="58"/>
      <c r="BW150" s="58"/>
      <c r="BX150" s="50"/>
      <c r="BY150" s="58"/>
      <c r="BZ150" s="58"/>
      <c r="CA150" s="58"/>
      <c r="CB150" s="50"/>
      <c r="CC150" s="58"/>
      <c r="CD150" s="58"/>
      <c r="CE150" s="58"/>
    </row>
    <row r="151" spans="1:85" ht="15" customHeight="1" x14ac:dyDescent="0.25">
      <c r="A151" s="53"/>
      <c r="B151" s="53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53"/>
      <c r="Y151" s="53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9"/>
      <c r="AM151" s="69"/>
      <c r="AN151" s="69"/>
      <c r="AO151" s="69"/>
      <c r="AP151" s="69"/>
      <c r="AQ151" s="69"/>
      <c r="AR151" s="69"/>
      <c r="AS151" s="69"/>
      <c r="AT151" s="69"/>
      <c r="AU151" s="53"/>
      <c r="AV151" s="53"/>
      <c r="AW151" s="137"/>
      <c r="AX151" s="137"/>
      <c r="AY151" s="137"/>
      <c r="AZ151" s="137"/>
      <c r="BA151" s="137"/>
      <c r="BB151" s="137"/>
      <c r="BC151" s="137"/>
      <c r="BD151" s="137"/>
      <c r="BE151" s="137"/>
      <c r="BF151" s="137"/>
      <c r="BG151" s="137"/>
      <c r="BH151" s="137"/>
      <c r="BI151" s="137"/>
      <c r="BJ151" s="137"/>
      <c r="BK151" s="137"/>
      <c r="BL151" s="137"/>
      <c r="BM151" s="137"/>
      <c r="BN151" s="137"/>
      <c r="BO151" s="137"/>
      <c r="BP151" s="137"/>
      <c r="BQ151" s="137"/>
      <c r="BR151" s="53"/>
      <c r="BS151" s="53"/>
    </row>
    <row r="152" spans="1:85" ht="15" customHeight="1" x14ac:dyDescent="0.25">
      <c r="A152" s="53"/>
      <c r="B152" s="53"/>
      <c r="C152" s="89" t="s">
        <v>36</v>
      </c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53"/>
      <c r="Y152" s="53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53"/>
      <c r="AV152" s="53"/>
      <c r="AW152" s="137"/>
      <c r="AX152" s="137"/>
      <c r="AY152" s="137"/>
      <c r="AZ152" s="137"/>
      <c r="BA152" s="137"/>
      <c r="BB152" s="137"/>
      <c r="BC152" s="137"/>
      <c r="BD152" s="137"/>
      <c r="BE152" s="137"/>
      <c r="BF152" s="137"/>
      <c r="BG152" s="137"/>
      <c r="BH152" s="137"/>
      <c r="BI152" s="137"/>
      <c r="BJ152" s="137"/>
      <c r="BK152" s="137"/>
      <c r="BL152" s="137"/>
      <c r="BM152" s="137"/>
      <c r="BN152" s="137"/>
      <c r="BO152" s="137"/>
      <c r="BP152" s="137"/>
      <c r="BQ152" s="137"/>
      <c r="BR152" s="53"/>
      <c r="BS152" s="53"/>
    </row>
    <row r="153" spans="1:85" ht="15" customHeight="1" x14ac:dyDescent="0.25">
      <c r="A153" s="53"/>
      <c r="B153" s="53"/>
      <c r="C153" s="89" t="s">
        <v>35</v>
      </c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53"/>
      <c r="Y153" s="53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9"/>
      <c r="AM153" s="69"/>
      <c r="AN153" s="69"/>
      <c r="AO153" s="69"/>
      <c r="AP153" s="69"/>
      <c r="AQ153" s="69"/>
      <c r="AR153" s="69"/>
      <c r="AS153" s="69"/>
      <c r="AT153" s="69"/>
      <c r="AU153" s="53"/>
      <c r="AV153" s="53"/>
      <c r="AW153" s="137"/>
      <c r="AX153" s="137"/>
      <c r="AY153" s="137"/>
      <c r="AZ153" s="137"/>
      <c r="BA153" s="137"/>
      <c r="BB153" s="137"/>
      <c r="BC153" s="137"/>
      <c r="BD153" s="137"/>
      <c r="BE153" s="137"/>
      <c r="BF153" s="137"/>
      <c r="BG153" s="137"/>
      <c r="BH153" s="137"/>
      <c r="BI153" s="137"/>
      <c r="BJ153" s="137"/>
      <c r="BK153" s="137"/>
      <c r="BL153" s="137"/>
      <c r="BM153" s="137"/>
      <c r="BN153" s="137"/>
      <c r="BO153" s="137"/>
      <c r="BP153" s="137"/>
      <c r="BQ153" s="137"/>
      <c r="BR153" s="53"/>
      <c r="BS153" s="53"/>
    </row>
    <row r="154" spans="1:85" ht="15" customHeight="1" x14ac:dyDescent="0.25">
      <c r="A154" s="53"/>
      <c r="B154" s="53"/>
      <c r="C154" s="78" t="s">
        <v>28</v>
      </c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53"/>
      <c r="Y154" s="53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9"/>
      <c r="AM154" s="69"/>
      <c r="AN154" s="69"/>
      <c r="AO154" s="69"/>
      <c r="AP154" s="69"/>
      <c r="AQ154" s="69"/>
      <c r="AR154" s="69"/>
      <c r="AS154" s="69"/>
      <c r="AT154" s="69"/>
      <c r="AU154" s="53"/>
      <c r="AV154" s="53"/>
      <c r="AW154" s="137"/>
      <c r="AX154" s="137"/>
      <c r="AY154" s="137"/>
      <c r="AZ154" s="137"/>
      <c r="BA154" s="137"/>
      <c r="BB154" s="137"/>
      <c r="BC154" s="137"/>
      <c r="BD154" s="137"/>
      <c r="BE154" s="137"/>
      <c r="BF154" s="137"/>
      <c r="BG154" s="137"/>
      <c r="BH154" s="137"/>
      <c r="BI154" s="137"/>
      <c r="BJ154" s="137"/>
      <c r="BK154" s="137"/>
      <c r="BL154" s="137"/>
      <c r="BM154" s="137"/>
      <c r="BN154" s="137"/>
      <c r="BO154" s="137"/>
      <c r="BP154" s="137"/>
      <c r="BQ154" s="137"/>
      <c r="BR154" s="53"/>
      <c r="BS154" s="53"/>
    </row>
    <row r="155" spans="1:85" ht="15" customHeight="1" x14ac:dyDescent="0.25">
      <c r="A155" s="53"/>
      <c r="B155" s="53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53"/>
      <c r="Y155" s="53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9"/>
      <c r="AM155" s="69"/>
      <c r="AN155" s="69"/>
      <c r="AO155" s="69"/>
      <c r="AP155" s="69"/>
      <c r="AQ155" s="69"/>
      <c r="AR155" s="69"/>
      <c r="AS155" s="69"/>
      <c r="AT155" s="69"/>
      <c r="AU155" s="53"/>
      <c r="AV155" s="53"/>
      <c r="AW155" s="137"/>
      <c r="AX155" s="137"/>
      <c r="AY155" s="137"/>
      <c r="AZ155" s="137"/>
      <c r="BA155" s="137"/>
      <c r="BB155" s="137"/>
      <c r="BC155" s="137"/>
      <c r="BD155" s="137"/>
      <c r="BE155" s="137"/>
      <c r="BF155" s="137"/>
      <c r="BG155" s="137"/>
      <c r="BH155" s="137"/>
      <c r="BI155" s="137"/>
      <c r="BJ155" s="137"/>
      <c r="BK155" s="137"/>
      <c r="BL155" s="137"/>
      <c r="BM155" s="137"/>
      <c r="BN155" s="137"/>
      <c r="BO155" s="137"/>
      <c r="BP155" s="137"/>
      <c r="BQ155" s="137"/>
      <c r="BR155" s="53"/>
      <c r="BS155" s="53"/>
    </row>
    <row r="156" spans="1:85" ht="15" customHeight="1" x14ac:dyDescent="0.25">
      <c r="A156" s="53"/>
      <c r="B156" s="53"/>
      <c r="C156" s="43"/>
      <c r="D156" s="43"/>
      <c r="E156" s="43"/>
      <c r="F156" s="43"/>
      <c r="G156" s="44"/>
      <c r="H156" s="157" t="s">
        <v>37</v>
      </c>
      <c r="I156" s="158"/>
      <c r="J156" s="158"/>
      <c r="K156" s="158"/>
      <c r="L156" s="158"/>
      <c r="M156" s="158"/>
      <c r="N156" s="158"/>
      <c r="O156" s="158"/>
      <c r="P156" s="158"/>
      <c r="Q156" s="158"/>
      <c r="R156" s="159"/>
      <c r="S156" s="45"/>
      <c r="T156" s="45"/>
      <c r="U156" s="45"/>
      <c r="V156" s="45"/>
      <c r="W156" s="45"/>
      <c r="X156" s="53"/>
      <c r="Y156" s="53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  <c r="AM156" s="69"/>
      <c r="AN156" s="69"/>
      <c r="AO156" s="69"/>
      <c r="AP156" s="69"/>
      <c r="AQ156" s="69"/>
      <c r="AR156" s="69"/>
      <c r="AS156" s="69"/>
      <c r="AT156" s="69"/>
      <c r="AU156" s="53"/>
      <c r="AV156" s="53"/>
      <c r="AW156" s="137"/>
      <c r="AX156" s="137"/>
      <c r="AY156" s="137"/>
      <c r="AZ156" s="137"/>
      <c r="BA156" s="137"/>
      <c r="BB156" s="137"/>
      <c r="BC156" s="137"/>
      <c r="BD156" s="137"/>
      <c r="BE156" s="137"/>
      <c r="BF156" s="137"/>
      <c r="BG156" s="137"/>
      <c r="BH156" s="137"/>
      <c r="BI156" s="137"/>
      <c r="BJ156" s="137"/>
      <c r="BK156" s="137"/>
      <c r="BL156" s="137"/>
      <c r="BM156" s="137"/>
      <c r="BN156" s="137"/>
      <c r="BO156" s="137"/>
      <c r="BP156" s="137"/>
      <c r="BQ156" s="137"/>
      <c r="BR156" s="53"/>
      <c r="BS156" s="53"/>
    </row>
    <row r="157" spans="1:85" ht="15" customHeight="1" x14ac:dyDescent="0.25">
      <c r="A157" s="53"/>
      <c r="B157" s="53"/>
      <c r="C157" s="43"/>
      <c r="D157" s="43"/>
      <c r="E157" s="43"/>
      <c r="F157" s="43"/>
      <c r="G157" s="43"/>
      <c r="H157" s="160"/>
      <c r="I157" s="161"/>
      <c r="J157" s="161"/>
      <c r="K157" s="161"/>
      <c r="L157" s="161"/>
      <c r="M157" s="161"/>
      <c r="N157" s="161"/>
      <c r="O157" s="161"/>
      <c r="P157" s="161"/>
      <c r="Q157" s="161"/>
      <c r="R157" s="162"/>
      <c r="S157" s="45"/>
      <c r="T157" s="45"/>
      <c r="U157" s="45"/>
      <c r="V157" s="45"/>
      <c r="W157" s="45"/>
      <c r="X157" s="53"/>
      <c r="Y157" s="53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9"/>
      <c r="AM157" s="69"/>
      <c r="AN157" s="69"/>
      <c r="AO157" s="69"/>
      <c r="AP157" s="69"/>
      <c r="AQ157" s="69"/>
      <c r="AR157" s="69"/>
      <c r="AS157" s="69"/>
      <c r="AT157" s="69"/>
      <c r="AU157" s="53"/>
      <c r="AV157" s="53"/>
      <c r="AW157" s="137"/>
      <c r="AX157" s="137"/>
      <c r="AY157" s="137"/>
      <c r="AZ157" s="137"/>
      <c r="BA157" s="137"/>
      <c r="BB157" s="137"/>
      <c r="BC157" s="137"/>
      <c r="BD157" s="137"/>
      <c r="BE157" s="137"/>
      <c r="BF157" s="137"/>
      <c r="BG157" s="137"/>
      <c r="BH157" s="137"/>
      <c r="BI157" s="137"/>
      <c r="BJ157" s="137"/>
      <c r="BK157" s="137"/>
      <c r="BL157" s="137"/>
      <c r="BM157" s="137"/>
      <c r="BN157" s="137"/>
      <c r="BO157" s="137"/>
      <c r="BP157" s="137"/>
      <c r="BQ157" s="137"/>
      <c r="BR157" s="53"/>
      <c r="BS157" s="53"/>
    </row>
    <row r="158" spans="1:85" ht="15" customHeight="1" x14ac:dyDescent="0.25">
      <c r="A158" s="53"/>
      <c r="B158" s="53"/>
      <c r="C158" s="43"/>
      <c r="D158" s="43"/>
      <c r="E158" s="43"/>
      <c r="F158" s="43"/>
      <c r="G158" s="44"/>
      <c r="H158" s="160"/>
      <c r="I158" s="161"/>
      <c r="J158" s="161"/>
      <c r="K158" s="161"/>
      <c r="L158" s="161"/>
      <c r="M158" s="161"/>
      <c r="N158" s="161"/>
      <c r="O158" s="161"/>
      <c r="P158" s="161"/>
      <c r="Q158" s="161"/>
      <c r="R158" s="162"/>
      <c r="S158" s="45"/>
      <c r="T158" s="45"/>
      <c r="U158" s="45"/>
      <c r="V158" s="45"/>
      <c r="W158" s="45"/>
      <c r="X158" s="53"/>
      <c r="Y158" s="53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  <c r="AM158" s="69"/>
      <c r="AN158" s="69"/>
      <c r="AO158" s="69"/>
      <c r="AP158" s="69"/>
      <c r="AQ158" s="69"/>
      <c r="AR158" s="69"/>
      <c r="AS158" s="69"/>
      <c r="AT158" s="69"/>
      <c r="AU158" s="53"/>
      <c r="AV158" s="53"/>
      <c r="AW158" s="137"/>
      <c r="AX158" s="137"/>
      <c r="AY158" s="137"/>
      <c r="AZ158" s="137"/>
      <c r="BA158" s="137"/>
      <c r="BB158" s="137"/>
      <c r="BC158" s="137"/>
      <c r="BD158" s="137"/>
      <c r="BE158" s="137"/>
      <c r="BF158" s="137"/>
      <c r="BG158" s="137"/>
      <c r="BH158" s="137"/>
      <c r="BI158" s="137"/>
      <c r="BJ158" s="137"/>
      <c r="BK158" s="137"/>
      <c r="BL158" s="137"/>
      <c r="BM158" s="137"/>
      <c r="BN158" s="137"/>
      <c r="BO158" s="137"/>
      <c r="BP158" s="137"/>
      <c r="BQ158" s="137"/>
      <c r="BR158" s="53"/>
      <c r="BS158" s="53"/>
    </row>
    <row r="159" spans="1:85" ht="15" customHeight="1" x14ac:dyDescent="0.25">
      <c r="A159" s="53"/>
      <c r="B159" s="53"/>
      <c r="C159" s="43"/>
      <c r="D159" s="43"/>
      <c r="E159" s="43"/>
      <c r="F159" s="43"/>
      <c r="G159" s="43"/>
      <c r="H159" s="160"/>
      <c r="I159" s="161"/>
      <c r="J159" s="161"/>
      <c r="K159" s="161"/>
      <c r="L159" s="161"/>
      <c r="M159" s="161"/>
      <c r="N159" s="161"/>
      <c r="O159" s="161"/>
      <c r="P159" s="161"/>
      <c r="Q159" s="161"/>
      <c r="R159" s="162"/>
      <c r="S159" s="45"/>
      <c r="T159" s="45"/>
      <c r="U159" s="45"/>
      <c r="V159" s="45"/>
      <c r="W159" s="45"/>
      <c r="X159" s="53"/>
      <c r="Y159" s="53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9"/>
      <c r="AM159" s="69"/>
      <c r="AN159" s="69"/>
      <c r="AO159" s="69"/>
      <c r="AP159" s="69"/>
      <c r="AQ159" s="69"/>
      <c r="AR159" s="69"/>
      <c r="AS159" s="69"/>
      <c r="AT159" s="69"/>
      <c r="AU159" s="53"/>
      <c r="AV159" s="53"/>
      <c r="AW159" s="137"/>
      <c r="AX159" s="137"/>
      <c r="AY159" s="137"/>
      <c r="AZ159" s="137"/>
      <c r="BA159" s="137"/>
      <c r="BB159" s="137"/>
      <c r="BC159" s="137"/>
      <c r="BD159" s="137"/>
      <c r="BE159" s="137"/>
      <c r="BF159" s="137"/>
      <c r="BG159" s="137"/>
      <c r="BH159" s="137"/>
      <c r="BI159" s="137"/>
      <c r="BJ159" s="137"/>
      <c r="BK159" s="137"/>
      <c r="BL159" s="137"/>
      <c r="BM159" s="137"/>
      <c r="BN159" s="137"/>
      <c r="BO159" s="137"/>
      <c r="BP159" s="137"/>
      <c r="BQ159" s="137"/>
      <c r="BR159" s="53"/>
      <c r="BS159" s="53"/>
    </row>
    <row r="160" spans="1:85" ht="15" customHeight="1" x14ac:dyDescent="0.25">
      <c r="A160" s="53"/>
      <c r="B160" s="53"/>
      <c r="C160" s="43"/>
      <c r="D160" s="43"/>
      <c r="E160" s="43"/>
      <c r="F160" s="43"/>
      <c r="G160" s="44"/>
      <c r="H160" s="160"/>
      <c r="I160" s="161"/>
      <c r="J160" s="161"/>
      <c r="K160" s="161"/>
      <c r="L160" s="161"/>
      <c r="M160" s="161"/>
      <c r="N160" s="161"/>
      <c r="O160" s="161"/>
      <c r="P160" s="161"/>
      <c r="Q160" s="161"/>
      <c r="R160" s="162"/>
      <c r="S160" s="45"/>
      <c r="T160" s="45"/>
      <c r="U160" s="45"/>
      <c r="V160" s="45"/>
      <c r="W160" s="45"/>
      <c r="X160" s="53"/>
      <c r="Y160" s="53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9"/>
      <c r="AM160" s="69"/>
      <c r="AN160" s="69"/>
      <c r="AO160" s="69"/>
      <c r="AP160" s="69"/>
      <c r="AQ160" s="69"/>
      <c r="AR160" s="69"/>
      <c r="AS160" s="69"/>
      <c r="AT160" s="69"/>
      <c r="AU160" s="53"/>
      <c r="AV160" s="53"/>
      <c r="AW160" s="137"/>
      <c r="AX160" s="137"/>
      <c r="AY160" s="137"/>
      <c r="AZ160" s="137"/>
      <c r="BA160" s="137"/>
      <c r="BB160" s="137"/>
      <c r="BC160" s="137"/>
      <c r="BD160" s="137"/>
      <c r="BE160" s="137"/>
      <c r="BF160" s="137"/>
      <c r="BG160" s="137"/>
      <c r="BH160" s="137"/>
      <c r="BI160" s="137"/>
      <c r="BJ160" s="137"/>
      <c r="BK160" s="137"/>
      <c r="BL160" s="137"/>
      <c r="BM160" s="137"/>
      <c r="BN160" s="137"/>
      <c r="BO160" s="137"/>
      <c r="BP160" s="137"/>
      <c r="BQ160" s="137"/>
      <c r="BR160" s="53"/>
      <c r="BS160" s="53"/>
    </row>
    <row r="161" spans="1:85" ht="15" customHeight="1" x14ac:dyDescent="0.25">
      <c r="A161" s="53"/>
      <c r="B161" s="53"/>
      <c r="C161" s="43"/>
      <c r="D161" s="43"/>
      <c r="E161" s="43"/>
      <c r="F161" s="43"/>
      <c r="G161" s="43"/>
      <c r="H161" s="160"/>
      <c r="I161" s="161"/>
      <c r="J161" s="161"/>
      <c r="K161" s="161"/>
      <c r="L161" s="161"/>
      <c r="M161" s="161"/>
      <c r="N161" s="161"/>
      <c r="O161" s="161"/>
      <c r="P161" s="161"/>
      <c r="Q161" s="161"/>
      <c r="R161" s="162"/>
      <c r="S161" s="45"/>
      <c r="T161" s="45"/>
      <c r="U161" s="45"/>
      <c r="V161" s="45"/>
      <c r="W161" s="45"/>
      <c r="X161" s="53"/>
      <c r="Y161" s="53"/>
      <c r="Z161" s="69"/>
      <c r="AA161" s="69"/>
      <c r="AB161" s="69"/>
      <c r="AC161" s="69"/>
      <c r="AD161" s="69"/>
      <c r="AE161" s="69"/>
      <c r="AF161" s="69"/>
      <c r="AG161" s="69"/>
      <c r="AH161" s="69"/>
      <c r="AI161" s="69"/>
      <c r="AJ161" s="69"/>
      <c r="AK161" s="69"/>
      <c r="AL161" s="69"/>
      <c r="AM161" s="69"/>
      <c r="AN161" s="69"/>
      <c r="AO161" s="69"/>
      <c r="AP161" s="69"/>
      <c r="AQ161" s="69"/>
      <c r="AR161" s="69"/>
      <c r="AS161" s="69"/>
      <c r="AT161" s="69"/>
      <c r="AU161" s="53"/>
      <c r="AV161" s="53"/>
      <c r="AW161" s="137"/>
      <c r="AX161" s="137"/>
      <c r="AY161" s="137"/>
      <c r="AZ161" s="137"/>
      <c r="BA161" s="137"/>
      <c r="BB161" s="137"/>
      <c r="BC161" s="137"/>
      <c r="BD161" s="137"/>
      <c r="BE161" s="137"/>
      <c r="BF161" s="137"/>
      <c r="BG161" s="137"/>
      <c r="BH161" s="137"/>
      <c r="BI161" s="137"/>
      <c r="BJ161" s="137"/>
      <c r="BK161" s="137"/>
      <c r="BL161" s="137"/>
      <c r="BM161" s="137"/>
      <c r="BN161" s="137"/>
      <c r="BO161" s="137"/>
      <c r="BP161" s="137"/>
      <c r="BQ161" s="137"/>
      <c r="BR161" s="53"/>
      <c r="BS161" s="53"/>
    </row>
    <row r="162" spans="1:85" ht="15" customHeight="1" x14ac:dyDescent="0.25">
      <c r="A162" s="53"/>
      <c r="B162" s="53"/>
      <c r="C162" s="43"/>
      <c r="D162" s="43"/>
      <c r="E162" s="43"/>
      <c r="F162" s="43"/>
      <c r="G162" s="44"/>
      <c r="H162" s="160"/>
      <c r="I162" s="161"/>
      <c r="J162" s="161"/>
      <c r="K162" s="161"/>
      <c r="L162" s="161"/>
      <c r="M162" s="161"/>
      <c r="N162" s="161"/>
      <c r="O162" s="161"/>
      <c r="P162" s="161"/>
      <c r="Q162" s="161"/>
      <c r="R162" s="162"/>
      <c r="S162" s="45"/>
      <c r="T162" s="45"/>
      <c r="U162" s="45"/>
      <c r="V162" s="45"/>
      <c r="W162" s="45"/>
      <c r="X162" s="53"/>
      <c r="Y162" s="53"/>
      <c r="Z162" s="69"/>
      <c r="AA162" s="69"/>
      <c r="AB162" s="69"/>
      <c r="AC162" s="69"/>
      <c r="AD162" s="69"/>
      <c r="AE162" s="69"/>
      <c r="AF162" s="69"/>
      <c r="AG162" s="69"/>
      <c r="AH162" s="69"/>
      <c r="AI162" s="69"/>
      <c r="AJ162" s="69"/>
      <c r="AK162" s="69"/>
      <c r="AL162" s="69"/>
      <c r="AM162" s="69"/>
      <c r="AN162" s="69"/>
      <c r="AO162" s="69"/>
      <c r="AP162" s="69"/>
      <c r="AQ162" s="69"/>
      <c r="AR162" s="69"/>
      <c r="AS162" s="69"/>
      <c r="AT162" s="69"/>
      <c r="AU162" s="53"/>
      <c r="AV162" s="53"/>
      <c r="AW162" s="137"/>
      <c r="AX162" s="137"/>
      <c r="AY162" s="137"/>
      <c r="AZ162" s="137"/>
      <c r="BA162" s="137"/>
      <c r="BB162" s="137"/>
      <c r="BC162" s="137"/>
      <c r="BD162" s="137"/>
      <c r="BE162" s="137"/>
      <c r="BF162" s="137"/>
      <c r="BG162" s="137"/>
      <c r="BH162" s="137"/>
      <c r="BI162" s="137"/>
      <c r="BJ162" s="137"/>
      <c r="BK162" s="137"/>
      <c r="BL162" s="137"/>
      <c r="BM162" s="137"/>
      <c r="BN162" s="137"/>
      <c r="BO162" s="137"/>
      <c r="BP162" s="137"/>
      <c r="BQ162" s="137"/>
      <c r="BR162" s="53"/>
      <c r="BS162" s="53"/>
    </row>
    <row r="163" spans="1:85" ht="15" customHeight="1" x14ac:dyDescent="0.25">
      <c r="A163" s="53"/>
      <c r="B163" s="53"/>
      <c r="C163" s="43"/>
      <c r="D163" s="43"/>
      <c r="E163" s="43"/>
      <c r="F163" s="43"/>
      <c r="G163" s="43"/>
      <c r="H163" s="163"/>
      <c r="I163" s="164"/>
      <c r="J163" s="164"/>
      <c r="K163" s="164"/>
      <c r="L163" s="164"/>
      <c r="M163" s="164"/>
      <c r="N163" s="164"/>
      <c r="O163" s="164"/>
      <c r="P163" s="164"/>
      <c r="Q163" s="164"/>
      <c r="R163" s="165"/>
      <c r="S163" s="45"/>
      <c r="T163" s="45"/>
      <c r="U163" s="45"/>
      <c r="V163" s="45"/>
      <c r="W163" s="45"/>
      <c r="X163" s="53"/>
      <c r="Y163" s="53"/>
      <c r="Z163" s="69"/>
      <c r="AA163" s="69"/>
      <c r="AB163" s="69"/>
      <c r="AC163" s="69"/>
      <c r="AD163" s="69"/>
      <c r="AE163" s="69"/>
      <c r="AF163" s="69"/>
      <c r="AG163" s="69"/>
      <c r="AH163" s="69"/>
      <c r="AI163" s="69"/>
      <c r="AJ163" s="69"/>
      <c r="AK163" s="69"/>
      <c r="AL163" s="69"/>
      <c r="AM163" s="69"/>
      <c r="AN163" s="69"/>
      <c r="AO163" s="69"/>
      <c r="AP163" s="69"/>
      <c r="AQ163" s="69"/>
      <c r="AR163" s="69"/>
      <c r="AS163" s="69"/>
      <c r="AT163" s="69"/>
      <c r="AU163" s="53"/>
      <c r="AV163" s="53"/>
      <c r="AW163" s="137"/>
      <c r="AX163" s="137"/>
      <c r="AY163" s="137"/>
      <c r="AZ163" s="137"/>
      <c r="BA163" s="137"/>
      <c r="BB163" s="137"/>
      <c r="BC163" s="137"/>
      <c r="BD163" s="137"/>
      <c r="BE163" s="137"/>
      <c r="BF163" s="137"/>
      <c r="BG163" s="137"/>
      <c r="BH163" s="137"/>
      <c r="BI163" s="137"/>
      <c r="BJ163" s="137"/>
      <c r="BK163" s="137"/>
      <c r="BL163" s="137"/>
      <c r="BM163" s="137"/>
      <c r="BN163" s="137"/>
      <c r="BO163" s="137"/>
      <c r="BP163" s="137"/>
      <c r="BQ163" s="137"/>
      <c r="BR163" s="53"/>
      <c r="BS163" s="53"/>
    </row>
    <row r="164" spans="1:85" ht="15" customHeight="1" x14ac:dyDescent="0.25">
      <c r="A164" s="53"/>
      <c r="B164" s="53"/>
      <c r="C164" s="76" t="s">
        <v>31</v>
      </c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53"/>
      <c r="Y164" s="53"/>
      <c r="Z164" s="69"/>
      <c r="AA164" s="69"/>
      <c r="AB164" s="69"/>
      <c r="AC164" s="69"/>
      <c r="AD164" s="69"/>
      <c r="AE164" s="69"/>
      <c r="AF164" s="69"/>
      <c r="AG164" s="69"/>
      <c r="AH164" s="69"/>
      <c r="AI164" s="69"/>
      <c r="AJ164" s="69"/>
      <c r="AK164" s="69"/>
      <c r="AL164" s="69"/>
      <c r="AM164" s="69"/>
      <c r="AN164" s="69"/>
      <c r="AO164" s="69"/>
      <c r="AP164" s="69"/>
      <c r="AQ164" s="69"/>
      <c r="AR164" s="69"/>
      <c r="AS164" s="69"/>
      <c r="AT164" s="69"/>
      <c r="AU164" s="53"/>
      <c r="AV164" s="53"/>
      <c r="AW164" s="137"/>
      <c r="AX164" s="137"/>
      <c r="AY164" s="137"/>
      <c r="AZ164" s="137"/>
      <c r="BA164" s="137"/>
      <c r="BB164" s="137"/>
      <c r="BC164" s="137"/>
      <c r="BD164" s="137"/>
      <c r="BE164" s="137"/>
      <c r="BF164" s="137"/>
      <c r="BG164" s="137"/>
      <c r="BH164" s="137"/>
      <c r="BI164" s="137"/>
      <c r="BJ164" s="137"/>
      <c r="BK164" s="137"/>
      <c r="BL164" s="137"/>
      <c r="BM164" s="137"/>
      <c r="BN164" s="137"/>
      <c r="BO164" s="137"/>
      <c r="BP164" s="137"/>
      <c r="BQ164" s="137"/>
      <c r="BR164" s="53"/>
      <c r="BS164" s="53"/>
    </row>
    <row r="165" spans="1:85" ht="15" customHeight="1" x14ac:dyDescent="0.25">
      <c r="A165" s="53"/>
      <c r="B165" s="53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53"/>
      <c r="Y165" s="53"/>
      <c r="Z165" s="69"/>
      <c r="AA165" s="69"/>
      <c r="AB165" s="69"/>
      <c r="AC165" s="69"/>
      <c r="AD165" s="69"/>
      <c r="AE165" s="69"/>
      <c r="AF165" s="69"/>
      <c r="AG165" s="69"/>
      <c r="AH165" s="69"/>
      <c r="AI165" s="69"/>
      <c r="AJ165" s="69"/>
      <c r="AK165" s="69"/>
      <c r="AL165" s="69"/>
      <c r="AM165" s="69"/>
      <c r="AN165" s="69"/>
      <c r="AO165" s="69"/>
      <c r="AP165" s="69"/>
      <c r="AQ165" s="69"/>
      <c r="AR165" s="69"/>
      <c r="AS165" s="69"/>
      <c r="AT165" s="69"/>
      <c r="AU165" s="53"/>
      <c r="AV165" s="53"/>
      <c r="AW165" s="137"/>
      <c r="AX165" s="137"/>
      <c r="AY165" s="137"/>
      <c r="AZ165" s="137"/>
      <c r="BA165" s="137"/>
      <c r="BB165" s="137"/>
      <c r="BC165" s="137"/>
      <c r="BD165" s="137"/>
      <c r="BE165" s="137"/>
      <c r="BF165" s="137"/>
      <c r="BG165" s="137"/>
      <c r="BH165" s="137"/>
      <c r="BI165" s="137"/>
      <c r="BJ165" s="137"/>
      <c r="BK165" s="137"/>
      <c r="BL165" s="137"/>
      <c r="BM165" s="137"/>
      <c r="BN165" s="137"/>
      <c r="BO165" s="137"/>
      <c r="BP165" s="137"/>
      <c r="BQ165" s="137"/>
      <c r="BR165" s="53"/>
      <c r="BS165" s="53"/>
    </row>
    <row r="166" spans="1:85" ht="15" customHeight="1" x14ac:dyDescent="0.25">
      <c r="A166" s="53"/>
      <c r="B166" s="53"/>
      <c r="C166" s="141" t="s">
        <v>32</v>
      </c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53"/>
      <c r="Y166" s="53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  <c r="AM166" s="69"/>
      <c r="AN166" s="69"/>
      <c r="AO166" s="69"/>
      <c r="AP166" s="69"/>
      <c r="AQ166" s="69"/>
      <c r="AR166" s="69"/>
      <c r="AS166" s="69"/>
      <c r="AT166" s="69"/>
      <c r="AU166" s="53"/>
      <c r="AV166" s="53"/>
      <c r="AW166" s="137"/>
      <c r="AX166" s="137"/>
      <c r="AY166" s="137"/>
      <c r="AZ166" s="137"/>
      <c r="BA166" s="137"/>
      <c r="BB166" s="137"/>
      <c r="BC166" s="137"/>
      <c r="BD166" s="137"/>
      <c r="BE166" s="137"/>
      <c r="BF166" s="137"/>
      <c r="BG166" s="137"/>
      <c r="BH166" s="137"/>
      <c r="BI166" s="137"/>
      <c r="BJ166" s="137"/>
      <c r="BK166" s="137"/>
      <c r="BL166" s="137"/>
      <c r="BM166" s="137"/>
      <c r="BN166" s="137"/>
      <c r="BO166" s="137"/>
      <c r="BP166" s="137"/>
      <c r="BQ166" s="137"/>
      <c r="BR166" s="53"/>
      <c r="BS166" s="53"/>
    </row>
    <row r="167" spans="1:85" ht="15" customHeight="1" x14ac:dyDescent="0.25">
      <c r="A167" s="53"/>
      <c r="B167" s="53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53"/>
      <c r="Y167" s="53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53"/>
      <c r="AV167" s="53"/>
      <c r="AW167" s="137"/>
      <c r="AX167" s="137"/>
      <c r="AY167" s="137"/>
      <c r="AZ167" s="137"/>
      <c r="BA167" s="137"/>
      <c r="BB167" s="137"/>
      <c r="BC167" s="137"/>
      <c r="BD167" s="137"/>
      <c r="BE167" s="137"/>
      <c r="BF167" s="137"/>
      <c r="BG167" s="137"/>
      <c r="BH167" s="137"/>
      <c r="BI167" s="137"/>
      <c r="BJ167" s="137"/>
      <c r="BK167" s="137"/>
      <c r="BL167" s="137"/>
      <c r="BM167" s="137"/>
      <c r="BN167" s="137"/>
      <c r="BO167" s="137"/>
      <c r="BP167" s="137"/>
      <c r="BQ167" s="137"/>
      <c r="BR167" s="53"/>
      <c r="BS167" s="53"/>
    </row>
    <row r="168" spans="1:85" ht="15" customHeight="1" x14ac:dyDescent="0.25">
      <c r="A168" s="53"/>
      <c r="B168" s="53"/>
      <c r="C168" s="142" t="s">
        <v>33</v>
      </c>
      <c r="D168" s="142"/>
      <c r="E168" s="142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53"/>
      <c r="Y168" s="53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  <c r="AM168" s="69"/>
      <c r="AN168" s="69"/>
      <c r="AO168" s="69"/>
      <c r="AP168" s="69"/>
      <c r="AQ168" s="69"/>
      <c r="AR168" s="69"/>
      <c r="AS168" s="69"/>
      <c r="AT168" s="69"/>
      <c r="AU168" s="53"/>
      <c r="AV168" s="53"/>
      <c r="AW168" s="137"/>
      <c r="AX168" s="137"/>
      <c r="AY168" s="137"/>
      <c r="AZ168" s="137"/>
      <c r="BA168" s="137"/>
      <c r="BB168" s="137"/>
      <c r="BC168" s="137"/>
      <c r="BD168" s="137"/>
      <c r="BE168" s="137"/>
      <c r="BF168" s="137"/>
      <c r="BG168" s="137"/>
      <c r="BH168" s="137"/>
      <c r="BI168" s="137"/>
      <c r="BJ168" s="137"/>
      <c r="BK168" s="137"/>
      <c r="BL168" s="137"/>
      <c r="BM168" s="137"/>
      <c r="BN168" s="137"/>
      <c r="BO168" s="137"/>
      <c r="BP168" s="137"/>
      <c r="BQ168" s="137"/>
      <c r="BR168" s="53"/>
      <c r="BS168" s="53"/>
    </row>
    <row r="169" spans="1:85" ht="15" customHeight="1" x14ac:dyDescent="0.25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7" t="s">
        <v>41</v>
      </c>
      <c r="BU169" s="198" t="s">
        <v>38</v>
      </c>
      <c r="BV169" s="199"/>
      <c r="BW169" s="199"/>
      <c r="BX169" s="200"/>
      <c r="BY169" s="198" t="s">
        <v>39</v>
      </c>
      <c r="BZ169" s="199"/>
      <c r="CA169" s="199"/>
      <c r="CB169" s="200"/>
      <c r="CC169" s="198" t="s">
        <v>40</v>
      </c>
      <c r="CD169" s="199"/>
      <c r="CE169" s="199"/>
      <c r="CF169" s="200"/>
      <c r="CG169" t="s">
        <v>42</v>
      </c>
    </row>
    <row r="170" spans="1:85" ht="15" customHeight="1" x14ac:dyDescent="0.25">
      <c r="A170" s="53"/>
      <c r="B170" s="53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53"/>
      <c r="Y170" s="53"/>
      <c r="Z170" s="69" t="s">
        <v>0</v>
      </c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9"/>
      <c r="AM170" s="69"/>
      <c r="AN170" s="69"/>
      <c r="AO170" s="69"/>
      <c r="AP170" s="69"/>
      <c r="AQ170" s="69"/>
      <c r="AR170" s="69"/>
      <c r="AS170" s="69"/>
      <c r="AT170" s="69"/>
      <c r="AU170" s="53"/>
      <c r="AV170" s="53"/>
      <c r="AW170" s="138"/>
      <c r="AX170" s="138"/>
      <c r="AY170" s="138"/>
      <c r="AZ170" s="138"/>
      <c r="BA170" s="138"/>
      <c r="BB170" s="138"/>
      <c r="BC170" s="138"/>
      <c r="BD170" s="138"/>
      <c r="BE170" s="138"/>
      <c r="BF170" s="138"/>
      <c r="BG170" s="138"/>
      <c r="BH170" s="138"/>
      <c r="BI170" s="138"/>
      <c r="BJ170" s="138"/>
      <c r="BK170" s="138"/>
      <c r="BL170" s="138"/>
      <c r="BM170" s="138"/>
      <c r="BN170" s="138"/>
      <c r="BO170" s="138"/>
      <c r="BP170" s="138"/>
      <c r="BQ170" s="138"/>
      <c r="BR170" s="53"/>
      <c r="BS170" s="53"/>
      <c r="BT170" s="58" t="s">
        <v>28</v>
      </c>
      <c r="BU170" s="61" t="str">
        <f ca="1">CELL("address",$C170)</f>
        <v>$C$170</v>
      </c>
      <c r="BV170" s="61" t="str">
        <f ca="1">CELL("address",$W189)</f>
        <v>$W$189</v>
      </c>
      <c r="BW170" s="61" t="b">
        <f ca="1">IF(CELL("contents",INDIRECT($BU170))&lt;&gt;"X",TRUE,FALSE)</f>
        <v>1</v>
      </c>
      <c r="BX170" s="60" t="str">
        <f ca="1">CONCATENATE(BU170,":",BV170)</f>
        <v>$C$170:$W$189</v>
      </c>
      <c r="BY170" s="61" t="str">
        <f ca="1">CELL("address",$Z170)</f>
        <v>$Z$170</v>
      </c>
      <c r="BZ170" s="61" t="str">
        <f ca="1">CELL("address",$AT189)</f>
        <v>$AT$189</v>
      </c>
      <c r="CA170" s="61" t="b">
        <f ca="1">IF(CELL("contents",INDIRECT($BY170))&lt;&gt;"X",TRUE,FALSE)</f>
        <v>0</v>
      </c>
      <c r="CB170" s="60" t="str">
        <f ca="1">CONCATENATE(BY170,":",BZ170)</f>
        <v>$Z$170:$AT$189</v>
      </c>
      <c r="CC170" s="61" t="str">
        <f ca="1">CELL("address",$AW170)</f>
        <v>$AW$170</v>
      </c>
      <c r="CD170" s="61" t="str">
        <f ca="1">CELL("address",$BQ189)</f>
        <v>$BQ$189</v>
      </c>
      <c r="CE170" s="61" t="b">
        <f ca="1">IF(CELL("contents",INDIRECT($CC170))&lt;&gt;"X",TRUE,FALSE)</f>
        <v>1</v>
      </c>
      <c r="CF170" s="60" t="str">
        <f ca="1">CONCATENATE(CC170,":",CD170)</f>
        <v>$AW$170:$BQ$189</v>
      </c>
      <c r="CG170">
        <f ca="1">_xlfn.IFNA(IF($BW:$BW=TRUE,1+MAX($CG$1:CG169),""),"")</f>
        <v>9</v>
      </c>
    </row>
    <row r="171" spans="1:85" ht="15" customHeight="1" x14ac:dyDescent="0.25">
      <c r="A171" s="53"/>
      <c r="B171" s="53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53"/>
      <c r="Y171" s="53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9"/>
      <c r="AM171" s="69"/>
      <c r="AN171" s="69"/>
      <c r="AO171" s="69"/>
      <c r="AP171" s="69"/>
      <c r="AQ171" s="69"/>
      <c r="AR171" s="69"/>
      <c r="AS171" s="69"/>
      <c r="AT171" s="69"/>
      <c r="AU171" s="53"/>
      <c r="AV171" s="53"/>
      <c r="AW171" s="138"/>
      <c r="AX171" s="138"/>
      <c r="AY171" s="138"/>
      <c r="AZ171" s="138"/>
      <c r="BA171" s="138"/>
      <c r="BB171" s="138"/>
      <c r="BC171" s="138"/>
      <c r="BD171" s="138"/>
      <c r="BE171" s="138"/>
      <c r="BF171" s="138"/>
      <c r="BG171" s="138"/>
      <c r="BH171" s="138"/>
      <c r="BI171" s="138"/>
      <c r="BJ171" s="138"/>
      <c r="BK171" s="138"/>
      <c r="BL171" s="138"/>
      <c r="BM171" s="138"/>
      <c r="BN171" s="138"/>
      <c r="BO171" s="138"/>
      <c r="BP171" s="138"/>
      <c r="BQ171" s="138"/>
      <c r="BR171" s="53"/>
      <c r="BS171" s="53"/>
      <c r="BU171" s="58"/>
      <c r="BV171" s="58"/>
      <c r="BW171" s="58"/>
      <c r="BX171" s="50"/>
      <c r="BY171" s="58"/>
      <c r="BZ171" s="58"/>
      <c r="CA171" s="58"/>
      <c r="CB171" s="50"/>
      <c r="CC171" s="58"/>
      <c r="CD171" s="58"/>
      <c r="CE171" s="58"/>
    </row>
    <row r="172" spans="1:85" ht="15" customHeight="1" x14ac:dyDescent="0.25">
      <c r="A172" s="53"/>
      <c r="B172" s="53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53"/>
      <c r="Y172" s="53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9"/>
      <c r="AM172" s="69"/>
      <c r="AN172" s="69"/>
      <c r="AO172" s="69"/>
      <c r="AP172" s="69"/>
      <c r="AQ172" s="69"/>
      <c r="AR172" s="69"/>
      <c r="AS172" s="69"/>
      <c r="AT172" s="69"/>
      <c r="AU172" s="53"/>
      <c r="AV172" s="53"/>
      <c r="AW172" s="138"/>
      <c r="AX172" s="138"/>
      <c r="AY172" s="138"/>
      <c r="AZ172" s="138"/>
      <c r="BA172" s="138"/>
      <c r="BB172" s="138"/>
      <c r="BC172" s="138"/>
      <c r="BD172" s="138"/>
      <c r="BE172" s="138"/>
      <c r="BF172" s="138"/>
      <c r="BG172" s="138"/>
      <c r="BH172" s="138"/>
      <c r="BI172" s="138"/>
      <c r="BJ172" s="138"/>
      <c r="BK172" s="138"/>
      <c r="BL172" s="138"/>
      <c r="BM172" s="138"/>
      <c r="BN172" s="138"/>
      <c r="BO172" s="138"/>
      <c r="BP172" s="138"/>
      <c r="BQ172" s="138"/>
      <c r="BR172" s="53"/>
      <c r="BS172" s="53"/>
    </row>
    <row r="173" spans="1:85" ht="15" customHeight="1" x14ac:dyDescent="0.25">
      <c r="A173" s="53"/>
      <c r="B173" s="53"/>
      <c r="C173" s="144" t="s">
        <v>36</v>
      </c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53"/>
      <c r="Y173" s="53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69"/>
      <c r="AN173" s="69"/>
      <c r="AO173" s="69"/>
      <c r="AP173" s="69"/>
      <c r="AQ173" s="69"/>
      <c r="AR173" s="69"/>
      <c r="AS173" s="69"/>
      <c r="AT173" s="69"/>
      <c r="AU173" s="53"/>
      <c r="AV173" s="53"/>
      <c r="AW173" s="138"/>
      <c r="AX173" s="138"/>
      <c r="AY173" s="138"/>
      <c r="AZ173" s="138"/>
      <c r="BA173" s="138"/>
      <c r="BB173" s="138"/>
      <c r="BC173" s="138"/>
      <c r="BD173" s="138"/>
      <c r="BE173" s="138"/>
      <c r="BF173" s="138"/>
      <c r="BG173" s="138"/>
      <c r="BH173" s="138"/>
      <c r="BI173" s="138"/>
      <c r="BJ173" s="138"/>
      <c r="BK173" s="138"/>
      <c r="BL173" s="138"/>
      <c r="BM173" s="138"/>
      <c r="BN173" s="138"/>
      <c r="BO173" s="138"/>
      <c r="BP173" s="138"/>
      <c r="BQ173" s="138"/>
      <c r="BR173" s="53"/>
      <c r="BS173" s="53"/>
    </row>
    <row r="174" spans="1:85" ht="15" customHeight="1" x14ac:dyDescent="0.25">
      <c r="A174" s="53"/>
      <c r="B174" s="53"/>
      <c r="C174" s="144" t="s">
        <v>35</v>
      </c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53"/>
      <c r="Y174" s="53"/>
      <c r="Z174" s="69"/>
      <c r="AA174" s="69"/>
      <c r="AB174" s="69"/>
      <c r="AC174" s="69"/>
      <c r="AD174" s="69"/>
      <c r="AE174" s="69"/>
      <c r="AF174" s="69"/>
      <c r="AG174" s="69"/>
      <c r="AH174" s="69"/>
      <c r="AI174" s="69"/>
      <c r="AJ174" s="69"/>
      <c r="AK174" s="69"/>
      <c r="AL174" s="69"/>
      <c r="AM174" s="69"/>
      <c r="AN174" s="69"/>
      <c r="AO174" s="69"/>
      <c r="AP174" s="69"/>
      <c r="AQ174" s="69"/>
      <c r="AR174" s="69"/>
      <c r="AS174" s="69"/>
      <c r="AT174" s="69"/>
      <c r="AU174" s="53"/>
      <c r="AV174" s="53"/>
      <c r="AW174" s="138"/>
      <c r="AX174" s="138"/>
      <c r="AY174" s="138"/>
      <c r="AZ174" s="138"/>
      <c r="BA174" s="138"/>
      <c r="BB174" s="138"/>
      <c r="BC174" s="138"/>
      <c r="BD174" s="138"/>
      <c r="BE174" s="138"/>
      <c r="BF174" s="138"/>
      <c r="BG174" s="138"/>
      <c r="BH174" s="138"/>
      <c r="BI174" s="138"/>
      <c r="BJ174" s="138"/>
      <c r="BK174" s="138"/>
      <c r="BL174" s="138"/>
      <c r="BM174" s="138"/>
      <c r="BN174" s="138"/>
      <c r="BO174" s="138"/>
      <c r="BP174" s="138"/>
      <c r="BQ174" s="138"/>
      <c r="BR174" s="53"/>
      <c r="BS174" s="53"/>
    </row>
    <row r="175" spans="1:85" ht="15" customHeight="1" x14ac:dyDescent="0.25">
      <c r="A175" s="53"/>
      <c r="B175" s="53"/>
      <c r="C175" s="143" t="s">
        <v>28</v>
      </c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53"/>
      <c r="Y175" s="53"/>
      <c r="Z175" s="69"/>
      <c r="AA175" s="69"/>
      <c r="AB175" s="69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69"/>
      <c r="AN175" s="69"/>
      <c r="AO175" s="69"/>
      <c r="AP175" s="69"/>
      <c r="AQ175" s="69"/>
      <c r="AR175" s="69"/>
      <c r="AS175" s="69"/>
      <c r="AT175" s="69"/>
      <c r="AU175" s="53"/>
      <c r="AV175" s="53"/>
      <c r="AW175" s="138"/>
      <c r="AX175" s="138"/>
      <c r="AY175" s="138"/>
      <c r="AZ175" s="138"/>
      <c r="BA175" s="138"/>
      <c r="BB175" s="138"/>
      <c r="BC175" s="138"/>
      <c r="BD175" s="138"/>
      <c r="BE175" s="138"/>
      <c r="BF175" s="138"/>
      <c r="BG175" s="138"/>
      <c r="BH175" s="138"/>
      <c r="BI175" s="138"/>
      <c r="BJ175" s="138"/>
      <c r="BK175" s="138"/>
      <c r="BL175" s="138"/>
      <c r="BM175" s="138"/>
      <c r="BN175" s="138"/>
      <c r="BO175" s="138"/>
      <c r="BP175" s="138"/>
      <c r="BQ175" s="138"/>
      <c r="BR175" s="53"/>
      <c r="BS175" s="53"/>
    </row>
    <row r="176" spans="1:85" ht="15" customHeight="1" x14ac:dyDescent="0.25">
      <c r="A176" s="53"/>
      <c r="B176" s="5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53"/>
      <c r="Y176" s="53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53"/>
      <c r="AV176" s="53"/>
      <c r="AW176" s="138"/>
      <c r="AX176" s="138"/>
      <c r="AY176" s="138"/>
      <c r="AZ176" s="138"/>
      <c r="BA176" s="138"/>
      <c r="BB176" s="138"/>
      <c r="BC176" s="138"/>
      <c r="BD176" s="138"/>
      <c r="BE176" s="138"/>
      <c r="BF176" s="138"/>
      <c r="BG176" s="138"/>
      <c r="BH176" s="138"/>
      <c r="BI176" s="138"/>
      <c r="BJ176" s="138"/>
      <c r="BK176" s="138"/>
      <c r="BL176" s="138"/>
      <c r="BM176" s="138"/>
      <c r="BN176" s="138"/>
      <c r="BO176" s="138"/>
      <c r="BP176" s="138"/>
      <c r="BQ176" s="138"/>
      <c r="BR176" s="53"/>
      <c r="BS176" s="53"/>
    </row>
    <row r="177" spans="1:85" ht="15" customHeight="1" x14ac:dyDescent="0.25">
      <c r="A177" s="53"/>
      <c r="B177" s="53"/>
      <c r="C177" s="46"/>
      <c r="D177" s="46"/>
      <c r="E177" s="46"/>
      <c r="F177" s="46"/>
      <c r="G177" s="46"/>
      <c r="H177" s="146" t="s">
        <v>37</v>
      </c>
      <c r="I177" s="147"/>
      <c r="J177" s="147"/>
      <c r="K177" s="147"/>
      <c r="L177" s="147"/>
      <c r="M177" s="147"/>
      <c r="N177" s="147"/>
      <c r="O177" s="147"/>
      <c r="P177" s="147"/>
      <c r="Q177" s="147"/>
      <c r="R177" s="148"/>
      <c r="S177" s="46"/>
      <c r="T177" s="46"/>
      <c r="U177" s="46"/>
      <c r="V177" s="46"/>
      <c r="W177" s="46"/>
      <c r="X177" s="53"/>
      <c r="Y177" s="53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53"/>
      <c r="AV177" s="53"/>
      <c r="AW177" s="138"/>
      <c r="AX177" s="138"/>
      <c r="AY177" s="138"/>
      <c r="AZ177" s="138"/>
      <c r="BA177" s="138"/>
      <c r="BB177" s="138"/>
      <c r="BC177" s="138"/>
      <c r="BD177" s="138"/>
      <c r="BE177" s="138"/>
      <c r="BF177" s="138"/>
      <c r="BG177" s="138"/>
      <c r="BH177" s="138"/>
      <c r="BI177" s="138"/>
      <c r="BJ177" s="138"/>
      <c r="BK177" s="138"/>
      <c r="BL177" s="138"/>
      <c r="BM177" s="138"/>
      <c r="BN177" s="138"/>
      <c r="BO177" s="138"/>
      <c r="BP177" s="138"/>
      <c r="BQ177" s="138"/>
      <c r="BR177" s="53"/>
      <c r="BS177" s="53"/>
    </row>
    <row r="178" spans="1:85" ht="15" customHeight="1" x14ac:dyDescent="0.25">
      <c r="A178" s="53"/>
      <c r="B178" s="53"/>
      <c r="C178" s="46"/>
      <c r="D178" s="46"/>
      <c r="E178" s="46"/>
      <c r="F178" s="46"/>
      <c r="G178" s="46"/>
      <c r="H178" s="149"/>
      <c r="I178" s="150"/>
      <c r="J178" s="150"/>
      <c r="K178" s="150"/>
      <c r="L178" s="150"/>
      <c r="M178" s="150"/>
      <c r="N178" s="150"/>
      <c r="O178" s="150"/>
      <c r="P178" s="150"/>
      <c r="Q178" s="150"/>
      <c r="R178" s="151"/>
      <c r="S178" s="46"/>
      <c r="T178" s="46"/>
      <c r="U178" s="46"/>
      <c r="V178" s="46"/>
      <c r="W178" s="46"/>
      <c r="X178" s="53"/>
      <c r="Y178" s="53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53"/>
      <c r="AV178" s="53"/>
      <c r="AW178" s="138"/>
      <c r="AX178" s="138"/>
      <c r="AY178" s="138"/>
      <c r="AZ178" s="138"/>
      <c r="BA178" s="138"/>
      <c r="BB178" s="138"/>
      <c r="BC178" s="138"/>
      <c r="BD178" s="138"/>
      <c r="BE178" s="138"/>
      <c r="BF178" s="138"/>
      <c r="BG178" s="138"/>
      <c r="BH178" s="138"/>
      <c r="BI178" s="138"/>
      <c r="BJ178" s="138"/>
      <c r="BK178" s="138"/>
      <c r="BL178" s="138"/>
      <c r="BM178" s="138"/>
      <c r="BN178" s="138"/>
      <c r="BO178" s="138"/>
      <c r="BP178" s="138"/>
      <c r="BQ178" s="138"/>
      <c r="BR178" s="53"/>
      <c r="BS178" s="53"/>
    </row>
    <row r="179" spans="1:85" ht="15" customHeight="1" x14ac:dyDescent="0.25">
      <c r="A179" s="53"/>
      <c r="B179" s="53"/>
      <c r="C179" s="46"/>
      <c r="D179" s="46"/>
      <c r="E179" s="46"/>
      <c r="F179" s="46"/>
      <c r="G179" s="46"/>
      <c r="H179" s="149"/>
      <c r="I179" s="150"/>
      <c r="J179" s="150"/>
      <c r="K179" s="150"/>
      <c r="L179" s="150"/>
      <c r="M179" s="150"/>
      <c r="N179" s="150"/>
      <c r="O179" s="150"/>
      <c r="P179" s="150"/>
      <c r="Q179" s="150"/>
      <c r="R179" s="151"/>
      <c r="S179" s="46"/>
      <c r="T179" s="46"/>
      <c r="U179" s="46"/>
      <c r="V179" s="46"/>
      <c r="W179" s="46"/>
      <c r="X179" s="53"/>
      <c r="Y179" s="53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69"/>
      <c r="AN179" s="69"/>
      <c r="AO179" s="69"/>
      <c r="AP179" s="69"/>
      <c r="AQ179" s="69"/>
      <c r="AR179" s="69"/>
      <c r="AS179" s="69"/>
      <c r="AT179" s="69"/>
      <c r="AU179" s="53"/>
      <c r="AV179" s="53"/>
      <c r="AW179" s="138"/>
      <c r="AX179" s="138"/>
      <c r="AY179" s="138"/>
      <c r="AZ179" s="138"/>
      <c r="BA179" s="138"/>
      <c r="BB179" s="138"/>
      <c r="BC179" s="138"/>
      <c r="BD179" s="138"/>
      <c r="BE179" s="138"/>
      <c r="BF179" s="138"/>
      <c r="BG179" s="138"/>
      <c r="BH179" s="138"/>
      <c r="BI179" s="138"/>
      <c r="BJ179" s="138"/>
      <c r="BK179" s="138"/>
      <c r="BL179" s="138"/>
      <c r="BM179" s="138"/>
      <c r="BN179" s="138"/>
      <c r="BO179" s="138"/>
      <c r="BP179" s="138"/>
      <c r="BQ179" s="138"/>
      <c r="BR179" s="53"/>
      <c r="BS179" s="53"/>
    </row>
    <row r="180" spans="1:85" ht="15" customHeight="1" x14ac:dyDescent="0.25">
      <c r="A180" s="53"/>
      <c r="B180" s="53"/>
      <c r="C180" s="46"/>
      <c r="D180" s="46"/>
      <c r="E180" s="46"/>
      <c r="F180" s="46"/>
      <c r="G180" s="46"/>
      <c r="H180" s="149"/>
      <c r="I180" s="150"/>
      <c r="J180" s="150"/>
      <c r="K180" s="150"/>
      <c r="L180" s="150"/>
      <c r="M180" s="150"/>
      <c r="N180" s="150"/>
      <c r="O180" s="150"/>
      <c r="P180" s="150"/>
      <c r="Q180" s="150"/>
      <c r="R180" s="151"/>
      <c r="S180" s="46"/>
      <c r="T180" s="46"/>
      <c r="U180" s="46"/>
      <c r="V180" s="46"/>
      <c r="W180" s="46"/>
      <c r="X180" s="53"/>
      <c r="Y180" s="53"/>
      <c r="Z180" s="69"/>
      <c r="AA180" s="69"/>
      <c r="AB180" s="69"/>
      <c r="AC180" s="69"/>
      <c r="AD180" s="69"/>
      <c r="AE180" s="69"/>
      <c r="AF180" s="69"/>
      <c r="AG180" s="69"/>
      <c r="AH180" s="69"/>
      <c r="AI180" s="69"/>
      <c r="AJ180" s="69"/>
      <c r="AK180" s="69"/>
      <c r="AL180" s="69"/>
      <c r="AM180" s="69"/>
      <c r="AN180" s="69"/>
      <c r="AO180" s="69"/>
      <c r="AP180" s="69"/>
      <c r="AQ180" s="69"/>
      <c r="AR180" s="69"/>
      <c r="AS180" s="69"/>
      <c r="AT180" s="69"/>
      <c r="AU180" s="53"/>
      <c r="AV180" s="53"/>
      <c r="AW180" s="138"/>
      <c r="AX180" s="138"/>
      <c r="AY180" s="138"/>
      <c r="AZ180" s="138"/>
      <c r="BA180" s="138"/>
      <c r="BB180" s="138"/>
      <c r="BC180" s="138"/>
      <c r="BD180" s="138"/>
      <c r="BE180" s="138"/>
      <c r="BF180" s="138"/>
      <c r="BG180" s="138"/>
      <c r="BH180" s="138"/>
      <c r="BI180" s="138"/>
      <c r="BJ180" s="138"/>
      <c r="BK180" s="138"/>
      <c r="BL180" s="138"/>
      <c r="BM180" s="138"/>
      <c r="BN180" s="138"/>
      <c r="BO180" s="138"/>
      <c r="BP180" s="138"/>
      <c r="BQ180" s="138"/>
      <c r="BR180" s="53"/>
      <c r="BS180" s="53"/>
    </row>
    <row r="181" spans="1:85" ht="15" customHeight="1" x14ac:dyDescent="0.25">
      <c r="A181" s="53"/>
      <c r="B181" s="53"/>
      <c r="C181" s="46"/>
      <c r="D181" s="46"/>
      <c r="E181" s="46"/>
      <c r="F181" s="46"/>
      <c r="G181" s="46"/>
      <c r="H181" s="149"/>
      <c r="I181" s="150"/>
      <c r="J181" s="150"/>
      <c r="K181" s="150"/>
      <c r="L181" s="150"/>
      <c r="M181" s="150"/>
      <c r="N181" s="150"/>
      <c r="O181" s="150"/>
      <c r="P181" s="150"/>
      <c r="Q181" s="150"/>
      <c r="R181" s="151"/>
      <c r="S181" s="46"/>
      <c r="T181" s="46"/>
      <c r="U181" s="46"/>
      <c r="V181" s="46"/>
      <c r="W181" s="46"/>
      <c r="X181" s="53"/>
      <c r="Y181" s="53"/>
      <c r="Z181" s="69"/>
      <c r="AA181" s="69"/>
      <c r="AB181" s="69"/>
      <c r="AC181" s="69"/>
      <c r="AD181" s="69"/>
      <c r="AE181" s="69"/>
      <c r="AF181" s="69"/>
      <c r="AG181" s="69"/>
      <c r="AH181" s="69"/>
      <c r="AI181" s="69"/>
      <c r="AJ181" s="69"/>
      <c r="AK181" s="69"/>
      <c r="AL181" s="69"/>
      <c r="AM181" s="69"/>
      <c r="AN181" s="69"/>
      <c r="AO181" s="69"/>
      <c r="AP181" s="69"/>
      <c r="AQ181" s="69"/>
      <c r="AR181" s="69"/>
      <c r="AS181" s="69"/>
      <c r="AT181" s="69"/>
      <c r="AU181" s="53"/>
      <c r="AV181" s="53"/>
      <c r="AW181" s="138"/>
      <c r="AX181" s="138"/>
      <c r="AY181" s="138"/>
      <c r="AZ181" s="138"/>
      <c r="BA181" s="138"/>
      <c r="BB181" s="138"/>
      <c r="BC181" s="138"/>
      <c r="BD181" s="138"/>
      <c r="BE181" s="138"/>
      <c r="BF181" s="138"/>
      <c r="BG181" s="138"/>
      <c r="BH181" s="138"/>
      <c r="BI181" s="138"/>
      <c r="BJ181" s="138"/>
      <c r="BK181" s="138"/>
      <c r="BL181" s="138"/>
      <c r="BM181" s="138"/>
      <c r="BN181" s="138"/>
      <c r="BO181" s="138"/>
      <c r="BP181" s="138"/>
      <c r="BQ181" s="138"/>
      <c r="BR181" s="53"/>
      <c r="BS181" s="53"/>
    </row>
    <row r="182" spans="1:85" ht="15" customHeight="1" x14ac:dyDescent="0.25">
      <c r="A182" s="53"/>
      <c r="B182" s="53"/>
      <c r="C182" s="46"/>
      <c r="D182" s="46"/>
      <c r="E182" s="46"/>
      <c r="F182" s="46"/>
      <c r="G182" s="46"/>
      <c r="H182" s="149"/>
      <c r="I182" s="150"/>
      <c r="J182" s="150"/>
      <c r="K182" s="150"/>
      <c r="L182" s="150"/>
      <c r="M182" s="150"/>
      <c r="N182" s="150"/>
      <c r="O182" s="150"/>
      <c r="P182" s="150"/>
      <c r="Q182" s="150"/>
      <c r="R182" s="151"/>
      <c r="S182" s="46"/>
      <c r="T182" s="46"/>
      <c r="U182" s="46"/>
      <c r="V182" s="46"/>
      <c r="W182" s="46"/>
      <c r="X182" s="53"/>
      <c r="Y182" s="53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  <c r="AK182" s="69"/>
      <c r="AL182" s="69"/>
      <c r="AM182" s="69"/>
      <c r="AN182" s="69"/>
      <c r="AO182" s="69"/>
      <c r="AP182" s="69"/>
      <c r="AQ182" s="69"/>
      <c r="AR182" s="69"/>
      <c r="AS182" s="69"/>
      <c r="AT182" s="69"/>
      <c r="AU182" s="53"/>
      <c r="AV182" s="53"/>
      <c r="AW182" s="138"/>
      <c r="AX182" s="138"/>
      <c r="AY182" s="138"/>
      <c r="AZ182" s="138"/>
      <c r="BA182" s="138"/>
      <c r="BB182" s="138"/>
      <c r="BC182" s="138"/>
      <c r="BD182" s="138"/>
      <c r="BE182" s="138"/>
      <c r="BF182" s="138"/>
      <c r="BG182" s="138"/>
      <c r="BH182" s="138"/>
      <c r="BI182" s="138"/>
      <c r="BJ182" s="138"/>
      <c r="BK182" s="138"/>
      <c r="BL182" s="138"/>
      <c r="BM182" s="138"/>
      <c r="BN182" s="138"/>
      <c r="BO182" s="138"/>
      <c r="BP182" s="138"/>
      <c r="BQ182" s="138"/>
      <c r="BR182" s="53"/>
      <c r="BS182" s="53"/>
    </row>
    <row r="183" spans="1:85" ht="15" customHeight="1" x14ac:dyDescent="0.25">
      <c r="A183" s="53"/>
      <c r="B183" s="53"/>
      <c r="C183" s="46"/>
      <c r="D183" s="46"/>
      <c r="E183" s="46"/>
      <c r="F183" s="46"/>
      <c r="G183" s="46"/>
      <c r="H183" s="149"/>
      <c r="I183" s="150"/>
      <c r="J183" s="150"/>
      <c r="K183" s="150"/>
      <c r="L183" s="150"/>
      <c r="M183" s="150"/>
      <c r="N183" s="150"/>
      <c r="O183" s="150"/>
      <c r="P183" s="150"/>
      <c r="Q183" s="150"/>
      <c r="R183" s="151"/>
      <c r="S183" s="46"/>
      <c r="T183" s="46"/>
      <c r="U183" s="46"/>
      <c r="V183" s="46"/>
      <c r="W183" s="46"/>
      <c r="X183" s="53"/>
      <c r="Y183" s="53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69"/>
      <c r="AN183" s="69"/>
      <c r="AO183" s="69"/>
      <c r="AP183" s="69"/>
      <c r="AQ183" s="69"/>
      <c r="AR183" s="69"/>
      <c r="AS183" s="69"/>
      <c r="AT183" s="69"/>
      <c r="AU183" s="53"/>
      <c r="AV183" s="53"/>
      <c r="AW183" s="138"/>
      <c r="AX183" s="138"/>
      <c r="AY183" s="138"/>
      <c r="AZ183" s="138"/>
      <c r="BA183" s="138"/>
      <c r="BB183" s="138"/>
      <c r="BC183" s="138"/>
      <c r="BD183" s="138"/>
      <c r="BE183" s="138"/>
      <c r="BF183" s="138"/>
      <c r="BG183" s="138"/>
      <c r="BH183" s="138"/>
      <c r="BI183" s="138"/>
      <c r="BJ183" s="138"/>
      <c r="BK183" s="138"/>
      <c r="BL183" s="138"/>
      <c r="BM183" s="138"/>
      <c r="BN183" s="138"/>
      <c r="BO183" s="138"/>
      <c r="BP183" s="138"/>
      <c r="BQ183" s="138"/>
      <c r="BR183" s="53"/>
      <c r="BS183" s="53"/>
    </row>
    <row r="184" spans="1:85" ht="15" customHeight="1" x14ac:dyDescent="0.25">
      <c r="A184" s="53"/>
      <c r="B184" s="53"/>
      <c r="C184" s="46"/>
      <c r="D184" s="46"/>
      <c r="E184" s="46"/>
      <c r="F184" s="46"/>
      <c r="G184" s="46"/>
      <c r="H184" s="152"/>
      <c r="I184" s="153"/>
      <c r="J184" s="153"/>
      <c r="K184" s="153"/>
      <c r="L184" s="153"/>
      <c r="M184" s="153"/>
      <c r="N184" s="153"/>
      <c r="O184" s="153"/>
      <c r="P184" s="153"/>
      <c r="Q184" s="153"/>
      <c r="R184" s="154"/>
      <c r="S184" s="46"/>
      <c r="T184" s="46"/>
      <c r="U184" s="46"/>
      <c r="V184" s="46"/>
      <c r="W184" s="46"/>
      <c r="X184" s="53"/>
      <c r="Y184" s="53"/>
      <c r="Z184" s="69"/>
      <c r="AA184" s="69"/>
      <c r="AB184" s="69"/>
      <c r="AC184" s="69"/>
      <c r="AD184" s="69"/>
      <c r="AE184" s="69"/>
      <c r="AF184" s="69"/>
      <c r="AG184" s="69"/>
      <c r="AH184" s="69"/>
      <c r="AI184" s="69"/>
      <c r="AJ184" s="69"/>
      <c r="AK184" s="69"/>
      <c r="AL184" s="69"/>
      <c r="AM184" s="69"/>
      <c r="AN184" s="69"/>
      <c r="AO184" s="69"/>
      <c r="AP184" s="69"/>
      <c r="AQ184" s="69"/>
      <c r="AR184" s="69"/>
      <c r="AS184" s="69"/>
      <c r="AT184" s="69"/>
      <c r="AU184" s="53"/>
      <c r="AV184" s="53"/>
      <c r="AW184" s="138"/>
      <c r="AX184" s="138"/>
      <c r="AY184" s="138"/>
      <c r="AZ184" s="138"/>
      <c r="BA184" s="138"/>
      <c r="BB184" s="138"/>
      <c r="BC184" s="138"/>
      <c r="BD184" s="138"/>
      <c r="BE184" s="138"/>
      <c r="BF184" s="138"/>
      <c r="BG184" s="138"/>
      <c r="BH184" s="138"/>
      <c r="BI184" s="138"/>
      <c r="BJ184" s="138"/>
      <c r="BK184" s="138"/>
      <c r="BL184" s="138"/>
      <c r="BM184" s="138"/>
      <c r="BN184" s="138"/>
      <c r="BO184" s="138"/>
      <c r="BP184" s="138"/>
      <c r="BQ184" s="138"/>
      <c r="BR184" s="53"/>
      <c r="BS184" s="53"/>
    </row>
    <row r="185" spans="1:85" ht="15" customHeight="1" x14ac:dyDescent="0.25">
      <c r="A185" s="53"/>
      <c r="B185" s="53"/>
      <c r="C185" s="155" t="s">
        <v>31</v>
      </c>
      <c r="D185" s="155"/>
      <c r="E185" s="155"/>
      <c r="F185" s="155"/>
      <c r="G185" s="155"/>
      <c r="H185" s="155"/>
      <c r="I185" s="155"/>
      <c r="J185" s="155"/>
      <c r="K185" s="155"/>
      <c r="L185" s="155"/>
      <c r="M185" s="155"/>
      <c r="N185" s="155"/>
      <c r="O185" s="155"/>
      <c r="P185" s="155"/>
      <c r="Q185" s="155"/>
      <c r="R185" s="155"/>
      <c r="S185" s="155"/>
      <c r="T185" s="155"/>
      <c r="U185" s="155"/>
      <c r="V185" s="155"/>
      <c r="W185" s="155"/>
      <c r="X185" s="53"/>
      <c r="Y185" s="53"/>
      <c r="Z185" s="69"/>
      <c r="AA185" s="69"/>
      <c r="AB185" s="69"/>
      <c r="AC185" s="69"/>
      <c r="AD185" s="69"/>
      <c r="AE185" s="69"/>
      <c r="AF185" s="69"/>
      <c r="AG185" s="69"/>
      <c r="AH185" s="69"/>
      <c r="AI185" s="69"/>
      <c r="AJ185" s="69"/>
      <c r="AK185" s="69"/>
      <c r="AL185" s="69"/>
      <c r="AM185" s="69"/>
      <c r="AN185" s="69"/>
      <c r="AO185" s="69"/>
      <c r="AP185" s="69"/>
      <c r="AQ185" s="69"/>
      <c r="AR185" s="69"/>
      <c r="AS185" s="69"/>
      <c r="AT185" s="69"/>
      <c r="AU185" s="53"/>
      <c r="AV185" s="53"/>
      <c r="AW185" s="138"/>
      <c r="AX185" s="138"/>
      <c r="AY185" s="138"/>
      <c r="AZ185" s="138"/>
      <c r="BA185" s="138"/>
      <c r="BB185" s="138"/>
      <c r="BC185" s="138"/>
      <c r="BD185" s="138"/>
      <c r="BE185" s="138"/>
      <c r="BF185" s="138"/>
      <c r="BG185" s="138"/>
      <c r="BH185" s="138"/>
      <c r="BI185" s="138"/>
      <c r="BJ185" s="138"/>
      <c r="BK185" s="138"/>
      <c r="BL185" s="138"/>
      <c r="BM185" s="138"/>
      <c r="BN185" s="138"/>
      <c r="BO185" s="138"/>
      <c r="BP185" s="138"/>
      <c r="BQ185" s="138"/>
      <c r="BR185" s="53"/>
      <c r="BS185" s="53"/>
    </row>
    <row r="186" spans="1:85" ht="15" customHeight="1" x14ac:dyDescent="0.25">
      <c r="A186" s="53"/>
      <c r="B186" s="53"/>
      <c r="C186" s="155"/>
      <c r="D186" s="155"/>
      <c r="E186" s="155"/>
      <c r="F186" s="155"/>
      <c r="G186" s="155"/>
      <c r="H186" s="155"/>
      <c r="I186" s="155"/>
      <c r="J186" s="155"/>
      <c r="K186" s="155"/>
      <c r="L186" s="155"/>
      <c r="M186" s="155"/>
      <c r="N186" s="155"/>
      <c r="O186" s="155"/>
      <c r="P186" s="155"/>
      <c r="Q186" s="155"/>
      <c r="R186" s="155"/>
      <c r="S186" s="155"/>
      <c r="T186" s="155"/>
      <c r="U186" s="155"/>
      <c r="V186" s="155"/>
      <c r="W186" s="155"/>
      <c r="X186" s="53"/>
      <c r="Y186" s="53"/>
      <c r="Z186" s="69"/>
      <c r="AA186" s="69"/>
      <c r="AB186" s="69"/>
      <c r="AC186" s="69"/>
      <c r="AD186" s="69"/>
      <c r="AE186" s="69"/>
      <c r="AF186" s="69"/>
      <c r="AG186" s="69"/>
      <c r="AH186" s="69"/>
      <c r="AI186" s="69"/>
      <c r="AJ186" s="69"/>
      <c r="AK186" s="69"/>
      <c r="AL186" s="69"/>
      <c r="AM186" s="69"/>
      <c r="AN186" s="69"/>
      <c r="AO186" s="69"/>
      <c r="AP186" s="69"/>
      <c r="AQ186" s="69"/>
      <c r="AR186" s="69"/>
      <c r="AS186" s="69"/>
      <c r="AT186" s="69"/>
      <c r="AU186" s="53"/>
      <c r="AV186" s="53"/>
      <c r="AW186" s="138"/>
      <c r="AX186" s="138"/>
      <c r="AY186" s="138"/>
      <c r="AZ186" s="138"/>
      <c r="BA186" s="138"/>
      <c r="BB186" s="138"/>
      <c r="BC186" s="138"/>
      <c r="BD186" s="138"/>
      <c r="BE186" s="138"/>
      <c r="BF186" s="138"/>
      <c r="BG186" s="138"/>
      <c r="BH186" s="138"/>
      <c r="BI186" s="138"/>
      <c r="BJ186" s="138"/>
      <c r="BK186" s="138"/>
      <c r="BL186" s="138"/>
      <c r="BM186" s="138"/>
      <c r="BN186" s="138"/>
      <c r="BO186" s="138"/>
      <c r="BP186" s="138"/>
      <c r="BQ186" s="138"/>
      <c r="BR186" s="53"/>
      <c r="BS186" s="53"/>
    </row>
    <row r="187" spans="1:85" ht="15" customHeight="1" x14ac:dyDescent="0.25">
      <c r="A187" s="53"/>
      <c r="B187" s="53"/>
      <c r="C187" s="156" t="s">
        <v>32</v>
      </c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53"/>
      <c r="Y187" s="53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69"/>
      <c r="AN187" s="69"/>
      <c r="AO187" s="69"/>
      <c r="AP187" s="69"/>
      <c r="AQ187" s="69"/>
      <c r="AR187" s="69"/>
      <c r="AS187" s="69"/>
      <c r="AT187" s="69"/>
      <c r="AU187" s="53"/>
      <c r="AV187" s="53"/>
      <c r="AW187" s="138"/>
      <c r="AX187" s="138"/>
      <c r="AY187" s="138"/>
      <c r="AZ187" s="138"/>
      <c r="BA187" s="138"/>
      <c r="BB187" s="138"/>
      <c r="BC187" s="138"/>
      <c r="BD187" s="138"/>
      <c r="BE187" s="138"/>
      <c r="BF187" s="138"/>
      <c r="BG187" s="138"/>
      <c r="BH187" s="138"/>
      <c r="BI187" s="138"/>
      <c r="BJ187" s="138"/>
      <c r="BK187" s="138"/>
      <c r="BL187" s="138"/>
      <c r="BM187" s="138"/>
      <c r="BN187" s="138"/>
      <c r="BO187" s="138"/>
      <c r="BP187" s="138"/>
      <c r="BQ187" s="138"/>
      <c r="BR187" s="53"/>
      <c r="BS187" s="53"/>
    </row>
    <row r="188" spans="1:85" ht="15" customHeight="1" x14ac:dyDescent="0.25">
      <c r="A188" s="53"/>
      <c r="B188" s="53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53"/>
      <c r="Y188" s="53"/>
      <c r="Z188" s="69"/>
      <c r="AA188" s="69"/>
      <c r="AB188" s="69"/>
      <c r="AC188" s="69"/>
      <c r="AD188" s="69"/>
      <c r="AE188" s="69"/>
      <c r="AF188" s="69"/>
      <c r="AG188" s="69"/>
      <c r="AH188" s="69"/>
      <c r="AI188" s="69"/>
      <c r="AJ188" s="69"/>
      <c r="AK188" s="69"/>
      <c r="AL188" s="69"/>
      <c r="AM188" s="69"/>
      <c r="AN188" s="69"/>
      <c r="AO188" s="69"/>
      <c r="AP188" s="69"/>
      <c r="AQ188" s="69"/>
      <c r="AR188" s="69"/>
      <c r="AS188" s="69"/>
      <c r="AT188" s="69"/>
      <c r="AU188" s="53"/>
      <c r="AV188" s="53"/>
      <c r="AW188" s="138"/>
      <c r="AX188" s="138"/>
      <c r="AY188" s="138"/>
      <c r="AZ188" s="138"/>
      <c r="BA188" s="138"/>
      <c r="BB188" s="138"/>
      <c r="BC188" s="138"/>
      <c r="BD188" s="138"/>
      <c r="BE188" s="138"/>
      <c r="BF188" s="138"/>
      <c r="BG188" s="138"/>
      <c r="BH188" s="138"/>
      <c r="BI188" s="138"/>
      <c r="BJ188" s="138"/>
      <c r="BK188" s="138"/>
      <c r="BL188" s="138"/>
      <c r="BM188" s="138"/>
      <c r="BN188" s="138"/>
      <c r="BO188" s="138"/>
      <c r="BP188" s="138"/>
      <c r="BQ188" s="138"/>
      <c r="BR188" s="53"/>
      <c r="BS188" s="53"/>
    </row>
    <row r="189" spans="1:85" ht="15" customHeight="1" x14ac:dyDescent="0.25">
      <c r="A189" s="53"/>
      <c r="B189" s="53"/>
      <c r="C189" s="70" t="s">
        <v>33</v>
      </c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53"/>
      <c r="Y189" s="53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69"/>
      <c r="AN189" s="69"/>
      <c r="AO189" s="69"/>
      <c r="AP189" s="69"/>
      <c r="AQ189" s="69"/>
      <c r="AR189" s="69"/>
      <c r="AS189" s="69"/>
      <c r="AT189" s="69"/>
      <c r="AU189" s="53"/>
      <c r="AV189" s="53"/>
      <c r="AW189" s="138"/>
      <c r="AX189" s="138"/>
      <c r="AY189" s="138"/>
      <c r="AZ189" s="138"/>
      <c r="BA189" s="138"/>
      <c r="BB189" s="138"/>
      <c r="BC189" s="138"/>
      <c r="BD189" s="138"/>
      <c r="BE189" s="138"/>
      <c r="BF189" s="138"/>
      <c r="BG189" s="138"/>
      <c r="BH189" s="138"/>
      <c r="BI189" s="138"/>
      <c r="BJ189" s="138"/>
      <c r="BK189" s="138"/>
      <c r="BL189" s="138"/>
      <c r="BM189" s="138"/>
      <c r="BN189" s="138"/>
      <c r="BO189" s="138"/>
      <c r="BP189" s="138"/>
      <c r="BQ189" s="138"/>
      <c r="BR189" s="53"/>
      <c r="BS189" s="53"/>
    </row>
    <row r="190" spans="1:85" ht="15" customHeight="1" x14ac:dyDescent="0.25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  <c r="BK190" s="53"/>
      <c r="BL190" s="53"/>
      <c r="BM190" s="53"/>
      <c r="BN190" s="53"/>
      <c r="BO190" s="53"/>
      <c r="BP190" s="53"/>
      <c r="BQ190" s="53"/>
      <c r="BR190" s="53"/>
      <c r="BS190" s="53"/>
      <c r="BT190" s="57" t="s">
        <v>41</v>
      </c>
      <c r="BU190" s="198" t="s">
        <v>38</v>
      </c>
      <c r="BV190" s="199"/>
      <c r="BW190" s="199"/>
      <c r="BX190" s="200"/>
      <c r="BY190" s="198" t="s">
        <v>39</v>
      </c>
      <c r="BZ190" s="199"/>
      <c r="CA190" s="199"/>
      <c r="CB190" s="200"/>
      <c r="CC190" s="198" t="s">
        <v>40</v>
      </c>
      <c r="CD190" s="199"/>
      <c r="CE190" s="199"/>
      <c r="CF190" s="200"/>
      <c r="CG190" t="s">
        <v>42</v>
      </c>
    </row>
    <row r="191" spans="1:85" ht="15" customHeight="1" x14ac:dyDescent="0.25">
      <c r="A191" s="53"/>
      <c r="B191" s="53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53"/>
      <c r="Y191" s="53"/>
      <c r="Z191" s="69" t="s">
        <v>0</v>
      </c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69"/>
      <c r="AN191" s="69"/>
      <c r="AO191" s="69"/>
      <c r="AP191" s="69"/>
      <c r="AQ191" s="69"/>
      <c r="AR191" s="69"/>
      <c r="AS191" s="69"/>
      <c r="AT191" s="69"/>
      <c r="AU191" s="53"/>
      <c r="AV191" s="53"/>
      <c r="AW191" s="75"/>
      <c r="AX191" s="75"/>
      <c r="AY191" s="75"/>
      <c r="AZ191" s="75"/>
      <c r="BA191" s="75"/>
      <c r="BB191" s="75"/>
      <c r="BC191" s="75"/>
      <c r="BD191" s="75"/>
      <c r="BE191" s="75"/>
      <c r="BF191" s="75"/>
      <c r="BG191" s="75"/>
      <c r="BH191" s="75"/>
      <c r="BI191" s="75"/>
      <c r="BJ191" s="75"/>
      <c r="BK191" s="75"/>
      <c r="BL191" s="75"/>
      <c r="BM191" s="75"/>
      <c r="BN191" s="75"/>
      <c r="BO191" s="75"/>
      <c r="BP191" s="75"/>
      <c r="BQ191" s="75"/>
      <c r="BR191" s="53"/>
      <c r="BS191" s="53"/>
      <c r="BT191" s="58" t="s">
        <v>30</v>
      </c>
      <c r="BU191" s="61" t="str">
        <f ca="1">CELL("address",$C191)</f>
        <v>$C$191</v>
      </c>
      <c r="BV191" s="61" t="str">
        <f ca="1">CELL("address",$W210)</f>
        <v>$W$210</v>
      </c>
      <c r="BW191" s="61" t="b">
        <f ca="1">IF(CELL("contents",INDIRECT($BU191))&lt;&gt;"X",TRUE,FALSE)</f>
        <v>1</v>
      </c>
      <c r="BX191" s="60" t="str">
        <f ca="1">CONCATENATE(BU191,":",BV191)</f>
        <v>$C$191:$W$210</v>
      </c>
      <c r="BY191" s="61" t="str">
        <f ca="1">CELL("address",$Z191)</f>
        <v>$Z$191</v>
      </c>
      <c r="BZ191" s="61" t="str">
        <f ca="1">CELL("address",$AT210)</f>
        <v>$AT$210</v>
      </c>
      <c r="CA191" s="61" t="b">
        <f ca="1">IF(CELL("contents",INDIRECT($BY191))&lt;&gt;"X",TRUE,FALSE)</f>
        <v>0</v>
      </c>
      <c r="CB191" s="60" t="str">
        <f ca="1">CONCATENATE(BY191,":",BZ191)</f>
        <v>$Z$191:$AT$210</v>
      </c>
      <c r="CC191" s="61" t="str">
        <f ca="1">CELL("address",$AW191)</f>
        <v>$AW$191</v>
      </c>
      <c r="CD191" s="61" t="str">
        <f ca="1">CELL("address",$BQ210)</f>
        <v>$BQ$210</v>
      </c>
      <c r="CE191" s="61" t="b">
        <f ca="1">IF(CELL("contents",INDIRECT($CC191))&lt;&gt;"X",TRUE,FALSE)</f>
        <v>1</v>
      </c>
      <c r="CF191" s="60" t="str">
        <f ca="1">CONCATENATE(CC191,":",CD191)</f>
        <v>$AW$191:$BQ$210</v>
      </c>
      <c r="CG191">
        <f ca="1">_xlfn.IFNA(IF($BW:$BW=TRUE,1+MAX($CG$1:CG190),""),"")</f>
        <v>10</v>
      </c>
    </row>
    <row r="192" spans="1:85" ht="15" customHeight="1" x14ac:dyDescent="0.25">
      <c r="A192" s="53"/>
      <c r="B192" s="5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53"/>
      <c r="Y192" s="53"/>
      <c r="Z192" s="69"/>
      <c r="AA192" s="69"/>
      <c r="AB192" s="69"/>
      <c r="AC192" s="69"/>
      <c r="AD192" s="69"/>
      <c r="AE192" s="69"/>
      <c r="AF192" s="69"/>
      <c r="AG192" s="69"/>
      <c r="AH192" s="69"/>
      <c r="AI192" s="69"/>
      <c r="AJ192" s="69"/>
      <c r="AK192" s="69"/>
      <c r="AL192" s="69"/>
      <c r="AM192" s="69"/>
      <c r="AN192" s="69"/>
      <c r="AO192" s="69"/>
      <c r="AP192" s="69"/>
      <c r="AQ192" s="69"/>
      <c r="AR192" s="69"/>
      <c r="AS192" s="69"/>
      <c r="AT192" s="69"/>
      <c r="AU192" s="53"/>
      <c r="AV192" s="53"/>
      <c r="AW192" s="75"/>
      <c r="AX192" s="75"/>
      <c r="AY192" s="75"/>
      <c r="AZ192" s="75"/>
      <c r="BA192" s="75"/>
      <c r="BB192" s="75"/>
      <c r="BC192" s="75"/>
      <c r="BD192" s="75"/>
      <c r="BE192" s="75"/>
      <c r="BF192" s="75"/>
      <c r="BG192" s="75"/>
      <c r="BH192" s="75"/>
      <c r="BI192" s="75"/>
      <c r="BJ192" s="75"/>
      <c r="BK192" s="75"/>
      <c r="BL192" s="75"/>
      <c r="BM192" s="75"/>
      <c r="BN192" s="75"/>
      <c r="BO192" s="75"/>
      <c r="BP192" s="75"/>
      <c r="BQ192" s="75"/>
      <c r="BR192" s="53"/>
      <c r="BS192" s="53"/>
      <c r="BU192" s="58"/>
      <c r="BV192" s="58"/>
      <c r="BW192" s="58"/>
      <c r="BX192" s="50"/>
      <c r="BY192" s="58"/>
      <c r="BZ192" s="58"/>
      <c r="CA192" s="58"/>
      <c r="CB192" s="50"/>
      <c r="CC192" s="58"/>
      <c r="CD192" s="58"/>
      <c r="CE192" s="58"/>
    </row>
    <row r="193" spans="1:71" ht="15" customHeight="1" x14ac:dyDescent="0.25">
      <c r="A193" s="53"/>
      <c r="B193" s="53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53"/>
      <c r="Y193" s="53"/>
      <c r="Z193" s="69"/>
      <c r="AA193" s="69"/>
      <c r="AB193" s="69"/>
      <c r="AC193" s="69"/>
      <c r="AD193" s="69"/>
      <c r="AE193" s="69"/>
      <c r="AF193" s="69"/>
      <c r="AG193" s="69"/>
      <c r="AH193" s="69"/>
      <c r="AI193" s="69"/>
      <c r="AJ193" s="69"/>
      <c r="AK193" s="69"/>
      <c r="AL193" s="69"/>
      <c r="AM193" s="69"/>
      <c r="AN193" s="69"/>
      <c r="AO193" s="69"/>
      <c r="AP193" s="69"/>
      <c r="AQ193" s="69"/>
      <c r="AR193" s="69"/>
      <c r="AS193" s="69"/>
      <c r="AT193" s="69"/>
      <c r="AU193" s="53"/>
      <c r="AV193" s="53"/>
      <c r="AW193" s="75"/>
      <c r="AX193" s="75"/>
      <c r="AY193" s="75"/>
      <c r="AZ193" s="75"/>
      <c r="BA193" s="75"/>
      <c r="BB193" s="75"/>
      <c r="BC193" s="75"/>
      <c r="BD193" s="75"/>
      <c r="BE193" s="75"/>
      <c r="BF193" s="75"/>
      <c r="BG193" s="75"/>
      <c r="BH193" s="75"/>
      <c r="BI193" s="75"/>
      <c r="BJ193" s="75"/>
      <c r="BK193" s="75"/>
      <c r="BL193" s="75"/>
      <c r="BM193" s="75"/>
      <c r="BN193" s="75"/>
      <c r="BO193" s="75"/>
      <c r="BP193" s="75"/>
      <c r="BQ193" s="75"/>
      <c r="BR193" s="53"/>
      <c r="BS193" s="53"/>
    </row>
    <row r="194" spans="1:71" ht="15" customHeight="1" x14ac:dyDescent="0.25">
      <c r="A194" s="53"/>
      <c r="B194" s="53"/>
      <c r="C194" s="139" t="s">
        <v>36</v>
      </c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53"/>
      <c r="Y194" s="53"/>
      <c r="Z194" s="69"/>
      <c r="AA194" s="69"/>
      <c r="AB194" s="69"/>
      <c r="AC194" s="69"/>
      <c r="AD194" s="69"/>
      <c r="AE194" s="69"/>
      <c r="AF194" s="69"/>
      <c r="AG194" s="69"/>
      <c r="AH194" s="69"/>
      <c r="AI194" s="69"/>
      <c r="AJ194" s="69"/>
      <c r="AK194" s="69"/>
      <c r="AL194" s="69"/>
      <c r="AM194" s="69"/>
      <c r="AN194" s="69"/>
      <c r="AO194" s="69"/>
      <c r="AP194" s="69"/>
      <c r="AQ194" s="69"/>
      <c r="AR194" s="69"/>
      <c r="AS194" s="69"/>
      <c r="AT194" s="69"/>
      <c r="AU194" s="53"/>
      <c r="AV194" s="53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53"/>
      <c r="BS194" s="53"/>
    </row>
    <row r="195" spans="1:71" ht="15" customHeight="1" x14ac:dyDescent="0.25">
      <c r="A195" s="53"/>
      <c r="B195" s="53"/>
      <c r="C195" s="139" t="s">
        <v>35</v>
      </c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53"/>
      <c r="Y195" s="53"/>
      <c r="Z195" s="69"/>
      <c r="AA195" s="69"/>
      <c r="AB195" s="69"/>
      <c r="AC195" s="69"/>
      <c r="AD195" s="69"/>
      <c r="AE195" s="69"/>
      <c r="AF195" s="69"/>
      <c r="AG195" s="69"/>
      <c r="AH195" s="69"/>
      <c r="AI195" s="69"/>
      <c r="AJ195" s="69"/>
      <c r="AK195" s="69"/>
      <c r="AL195" s="69"/>
      <c r="AM195" s="69"/>
      <c r="AN195" s="69"/>
      <c r="AO195" s="69"/>
      <c r="AP195" s="69"/>
      <c r="AQ195" s="69"/>
      <c r="AR195" s="69"/>
      <c r="AS195" s="69"/>
      <c r="AT195" s="69"/>
      <c r="AU195" s="53"/>
      <c r="AV195" s="53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53"/>
      <c r="BS195" s="53"/>
    </row>
    <row r="196" spans="1:71" ht="15" customHeight="1" x14ac:dyDescent="0.25">
      <c r="A196" s="53"/>
      <c r="B196" s="53"/>
      <c r="C196" s="103" t="s">
        <v>30</v>
      </c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S196" s="103"/>
      <c r="T196" s="103"/>
      <c r="U196" s="103"/>
      <c r="V196" s="103"/>
      <c r="W196" s="103"/>
      <c r="X196" s="53"/>
      <c r="Y196" s="53"/>
      <c r="Z196" s="69"/>
      <c r="AA196" s="69"/>
      <c r="AB196" s="69"/>
      <c r="AC196" s="69"/>
      <c r="AD196" s="69"/>
      <c r="AE196" s="69"/>
      <c r="AF196" s="69"/>
      <c r="AG196" s="69"/>
      <c r="AH196" s="69"/>
      <c r="AI196" s="69"/>
      <c r="AJ196" s="69"/>
      <c r="AK196" s="69"/>
      <c r="AL196" s="69"/>
      <c r="AM196" s="69"/>
      <c r="AN196" s="69"/>
      <c r="AO196" s="69"/>
      <c r="AP196" s="69"/>
      <c r="AQ196" s="69"/>
      <c r="AR196" s="69"/>
      <c r="AS196" s="69"/>
      <c r="AT196" s="69"/>
      <c r="AU196" s="53"/>
      <c r="AV196" s="53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53"/>
      <c r="BS196" s="53"/>
    </row>
    <row r="197" spans="1:71" ht="15" customHeight="1" x14ac:dyDescent="0.25">
      <c r="A197" s="53"/>
      <c r="B197" s="53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53"/>
      <c r="Y197" s="53"/>
      <c r="Z197" s="69"/>
      <c r="AA197" s="69"/>
      <c r="AB197" s="69"/>
      <c r="AC197" s="69"/>
      <c r="AD197" s="69"/>
      <c r="AE197" s="69"/>
      <c r="AF197" s="69"/>
      <c r="AG197" s="69"/>
      <c r="AH197" s="69"/>
      <c r="AI197" s="69"/>
      <c r="AJ197" s="69"/>
      <c r="AK197" s="69"/>
      <c r="AL197" s="69"/>
      <c r="AM197" s="69"/>
      <c r="AN197" s="69"/>
      <c r="AO197" s="69"/>
      <c r="AP197" s="69"/>
      <c r="AQ197" s="69"/>
      <c r="AR197" s="69"/>
      <c r="AS197" s="69"/>
      <c r="AT197" s="69"/>
      <c r="AU197" s="53"/>
      <c r="AV197" s="53"/>
      <c r="AW197" s="75"/>
      <c r="AX197" s="75"/>
      <c r="AY197" s="75"/>
      <c r="AZ197" s="75"/>
      <c r="BA197" s="75"/>
      <c r="BB197" s="75"/>
      <c r="BC197" s="75"/>
      <c r="BD197" s="75"/>
      <c r="BE197" s="75"/>
      <c r="BF197" s="75"/>
      <c r="BG197" s="75"/>
      <c r="BH197" s="75"/>
      <c r="BI197" s="75"/>
      <c r="BJ197" s="75"/>
      <c r="BK197" s="75"/>
      <c r="BL197" s="75"/>
      <c r="BM197" s="75"/>
      <c r="BN197" s="75"/>
      <c r="BO197" s="75"/>
      <c r="BP197" s="75"/>
      <c r="BQ197" s="75"/>
      <c r="BR197" s="53"/>
      <c r="BS197" s="53"/>
    </row>
    <row r="198" spans="1:71" ht="15" customHeight="1" x14ac:dyDescent="0.25">
      <c r="A198" s="53"/>
      <c r="B198" s="53"/>
      <c r="C198" s="2"/>
      <c r="D198" s="2"/>
      <c r="E198" s="2"/>
      <c r="F198" s="2"/>
      <c r="G198" s="2"/>
      <c r="H198" s="92" t="s">
        <v>37</v>
      </c>
      <c r="I198" s="93"/>
      <c r="J198" s="93"/>
      <c r="K198" s="93"/>
      <c r="L198" s="93"/>
      <c r="M198" s="93"/>
      <c r="N198" s="93"/>
      <c r="O198" s="93"/>
      <c r="P198" s="93"/>
      <c r="Q198" s="93"/>
      <c r="R198" s="94"/>
      <c r="S198" s="2"/>
      <c r="T198" s="2"/>
      <c r="U198" s="2"/>
      <c r="V198" s="2"/>
      <c r="W198" s="2"/>
      <c r="X198" s="53"/>
      <c r="Y198" s="53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53"/>
      <c r="AV198" s="53"/>
      <c r="AW198" s="75"/>
      <c r="AX198" s="75"/>
      <c r="AY198" s="75"/>
      <c r="AZ198" s="75"/>
      <c r="BA198" s="75"/>
      <c r="BB198" s="75"/>
      <c r="BC198" s="75"/>
      <c r="BD198" s="75"/>
      <c r="BE198" s="75"/>
      <c r="BF198" s="75"/>
      <c r="BG198" s="75"/>
      <c r="BH198" s="75"/>
      <c r="BI198" s="75"/>
      <c r="BJ198" s="75"/>
      <c r="BK198" s="75"/>
      <c r="BL198" s="75"/>
      <c r="BM198" s="75"/>
      <c r="BN198" s="75"/>
      <c r="BO198" s="75"/>
      <c r="BP198" s="75"/>
      <c r="BQ198" s="75"/>
      <c r="BR198" s="53"/>
      <c r="BS198" s="53"/>
    </row>
    <row r="199" spans="1:71" ht="15" customHeight="1" x14ac:dyDescent="0.25">
      <c r="A199" s="53"/>
      <c r="B199" s="53"/>
      <c r="C199" s="2"/>
      <c r="D199" s="2"/>
      <c r="E199" s="2"/>
      <c r="F199" s="2"/>
      <c r="G199" s="2"/>
      <c r="H199" s="95"/>
      <c r="I199" s="96"/>
      <c r="J199" s="96"/>
      <c r="K199" s="96"/>
      <c r="L199" s="96"/>
      <c r="M199" s="96"/>
      <c r="N199" s="96"/>
      <c r="O199" s="96"/>
      <c r="P199" s="96"/>
      <c r="Q199" s="96"/>
      <c r="R199" s="97"/>
      <c r="S199" s="2"/>
      <c r="T199" s="2"/>
      <c r="U199" s="2"/>
      <c r="V199" s="2"/>
      <c r="W199" s="2"/>
      <c r="X199" s="53"/>
      <c r="Y199" s="53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53"/>
      <c r="AV199" s="53"/>
      <c r="AW199" s="75"/>
      <c r="AX199" s="75"/>
      <c r="AY199" s="75"/>
      <c r="AZ199" s="75"/>
      <c r="BA199" s="75"/>
      <c r="BB199" s="75"/>
      <c r="BC199" s="75"/>
      <c r="BD199" s="75"/>
      <c r="BE199" s="75"/>
      <c r="BF199" s="75"/>
      <c r="BG199" s="75"/>
      <c r="BH199" s="75"/>
      <c r="BI199" s="75"/>
      <c r="BJ199" s="75"/>
      <c r="BK199" s="75"/>
      <c r="BL199" s="75"/>
      <c r="BM199" s="75"/>
      <c r="BN199" s="75"/>
      <c r="BO199" s="75"/>
      <c r="BP199" s="75"/>
      <c r="BQ199" s="75"/>
      <c r="BR199" s="53"/>
      <c r="BS199" s="53"/>
    </row>
    <row r="200" spans="1:71" ht="15" customHeight="1" x14ac:dyDescent="0.25">
      <c r="A200" s="53"/>
      <c r="B200" s="53"/>
      <c r="C200" s="2"/>
      <c r="D200" s="2"/>
      <c r="E200" s="2"/>
      <c r="F200" s="2"/>
      <c r="G200" s="2"/>
      <c r="H200" s="95"/>
      <c r="I200" s="96"/>
      <c r="J200" s="96"/>
      <c r="K200" s="96"/>
      <c r="L200" s="96"/>
      <c r="M200" s="96"/>
      <c r="N200" s="96"/>
      <c r="O200" s="96"/>
      <c r="P200" s="96"/>
      <c r="Q200" s="96"/>
      <c r="R200" s="97"/>
      <c r="S200" s="2"/>
      <c r="T200" s="2"/>
      <c r="U200" s="2"/>
      <c r="V200" s="2"/>
      <c r="W200" s="2"/>
      <c r="X200" s="53"/>
      <c r="Y200" s="53"/>
      <c r="Z200" s="69"/>
      <c r="AA200" s="69"/>
      <c r="AB200" s="69"/>
      <c r="AC200" s="69"/>
      <c r="AD200" s="69"/>
      <c r="AE200" s="69"/>
      <c r="AF200" s="69"/>
      <c r="AG200" s="69"/>
      <c r="AH200" s="69"/>
      <c r="AI200" s="69"/>
      <c r="AJ200" s="69"/>
      <c r="AK200" s="69"/>
      <c r="AL200" s="69"/>
      <c r="AM200" s="69"/>
      <c r="AN200" s="69"/>
      <c r="AO200" s="69"/>
      <c r="AP200" s="69"/>
      <c r="AQ200" s="69"/>
      <c r="AR200" s="69"/>
      <c r="AS200" s="69"/>
      <c r="AT200" s="69"/>
      <c r="AU200" s="53"/>
      <c r="AV200" s="53"/>
      <c r="AW200" s="75"/>
      <c r="AX200" s="75"/>
      <c r="AY200" s="75"/>
      <c r="AZ200" s="75"/>
      <c r="BA200" s="75"/>
      <c r="BB200" s="75"/>
      <c r="BC200" s="75"/>
      <c r="BD200" s="75"/>
      <c r="BE200" s="75"/>
      <c r="BF200" s="75"/>
      <c r="BG200" s="75"/>
      <c r="BH200" s="75"/>
      <c r="BI200" s="75"/>
      <c r="BJ200" s="75"/>
      <c r="BK200" s="75"/>
      <c r="BL200" s="75"/>
      <c r="BM200" s="75"/>
      <c r="BN200" s="75"/>
      <c r="BO200" s="75"/>
      <c r="BP200" s="75"/>
      <c r="BQ200" s="75"/>
      <c r="BR200" s="53"/>
      <c r="BS200" s="53"/>
    </row>
    <row r="201" spans="1:71" ht="15" customHeight="1" x14ac:dyDescent="0.25">
      <c r="A201" s="53"/>
      <c r="B201" s="53"/>
      <c r="C201" s="2"/>
      <c r="D201" s="2"/>
      <c r="E201" s="2"/>
      <c r="F201" s="2"/>
      <c r="G201" s="2"/>
      <c r="H201" s="95"/>
      <c r="I201" s="96"/>
      <c r="J201" s="96"/>
      <c r="K201" s="96"/>
      <c r="L201" s="96"/>
      <c r="M201" s="96"/>
      <c r="N201" s="96"/>
      <c r="O201" s="96"/>
      <c r="P201" s="96"/>
      <c r="Q201" s="96"/>
      <c r="R201" s="97"/>
      <c r="S201" s="2"/>
      <c r="T201" s="2"/>
      <c r="U201" s="2"/>
      <c r="V201" s="2"/>
      <c r="W201" s="2"/>
      <c r="X201" s="53"/>
      <c r="Y201" s="53"/>
      <c r="Z201" s="69"/>
      <c r="AA201" s="69"/>
      <c r="AB201" s="69"/>
      <c r="AC201" s="69"/>
      <c r="AD201" s="69"/>
      <c r="AE201" s="69"/>
      <c r="AF201" s="69"/>
      <c r="AG201" s="69"/>
      <c r="AH201" s="69"/>
      <c r="AI201" s="69"/>
      <c r="AJ201" s="69"/>
      <c r="AK201" s="69"/>
      <c r="AL201" s="69"/>
      <c r="AM201" s="69"/>
      <c r="AN201" s="69"/>
      <c r="AO201" s="69"/>
      <c r="AP201" s="69"/>
      <c r="AQ201" s="69"/>
      <c r="AR201" s="69"/>
      <c r="AS201" s="69"/>
      <c r="AT201" s="69"/>
      <c r="AU201" s="53"/>
      <c r="AV201" s="53"/>
      <c r="AW201" s="75"/>
      <c r="AX201" s="75"/>
      <c r="AY201" s="75"/>
      <c r="AZ201" s="75"/>
      <c r="BA201" s="75"/>
      <c r="BB201" s="75"/>
      <c r="BC201" s="75"/>
      <c r="BD201" s="75"/>
      <c r="BE201" s="75"/>
      <c r="BF201" s="75"/>
      <c r="BG201" s="75"/>
      <c r="BH201" s="75"/>
      <c r="BI201" s="75"/>
      <c r="BJ201" s="75"/>
      <c r="BK201" s="75"/>
      <c r="BL201" s="75"/>
      <c r="BM201" s="75"/>
      <c r="BN201" s="75"/>
      <c r="BO201" s="75"/>
      <c r="BP201" s="75"/>
      <c r="BQ201" s="75"/>
      <c r="BR201" s="53"/>
      <c r="BS201" s="53"/>
    </row>
    <row r="202" spans="1:71" ht="15" customHeight="1" x14ac:dyDescent="0.25">
      <c r="A202" s="53"/>
      <c r="B202" s="53"/>
      <c r="C202" s="2"/>
      <c r="D202" s="2"/>
      <c r="E202" s="2"/>
      <c r="F202" s="2"/>
      <c r="G202" s="2"/>
      <c r="H202" s="95"/>
      <c r="I202" s="96"/>
      <c r="J202" s="96"/>
      <c r="K202" s="96"/>
      <c r="L202" s="96"/>
      <c r="M202" s="96"/>
      <c r="N202" s="96"/>
      <c r="O202" s="96"/>
      <c r="P202" s="96"/>
      <c r="Q202" s="96"/>
      <c r="R202" s="97"/>
      <c r="S202" s="2"/>
      <c r="T202" s="2"/>
      <c r="U202" s="2"/>
      <c r="V202" s="2"/>
      <c r="W202" s="2"/>
      <c r="X202" s="53"/>
      <c r="Y202" s="53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69"/>
      <c r="AN202" s="69"/>
      <c r="AO202" s="69"/>
      <c r="AP202" s="69"/>
      <c r="AQ202" s="69"/>
      <c r="AR202" s="69"/>
      <c r="AS202" s="69"/>
      <c r="AT202" s="69"/>
      <c r="AU202" s="53"/>
      <c r="AV202" s="53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53"/>
      <c r="BS202" s="53"/>
    </row>
    <row r="203" spans="1:71" ht="15" customHeight="1" x14ac:dyDescent="0.25">
      <c r="A203" s="53"/>
      <c r="B203" s="53"/>
      <c r="C203" s="2"/>
      <c r="D203" s="2"/>
      <c r="E203" s="2"/>
      <c r="F203" s="2"/>
      <c r="G203" s="2"/>
      <c r="H203" s="95"/>
      <c r="I203" s="96"/>
      <c r="J203" s="96"/>
      <c r="K203" s="96"/>
      <c r="L203" s="96"/>
      <c r="M203" s="96"/>
      <c r="N203" s="96"/>
      <c r="O203" s="96"/>
      <c r="P203" s="96"/>
      <c r="Q203" s="96"/>
      <c r="R203" s="97"/>
      <c r="S203" s="2"/>
      <c r="T203" s="2"/>
      <c r="U203" s="2"/>
      <c r="V203" s="2"/>
      <c r="W203" s="2"/>
      <c r="X203" s="53"/>
      <c r="Y203" s="53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69"/>
      <c r="AN203" s="69"/>
      <c r="AO203" s="69"/>
      <c r="AP203" s="69"/>
      <c r="AQ203" s="69"/>
      <c r="AR203" s="69"/>
      <c r="AS203" s="69"/>
      <c r="AT203" s="69"/>
      <c r="AU203" s="53"/>
      <c r="AV203" s="53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53"/>
      <c r="BS203" s="53"/>
    </row>
    <row r="204" spans="1:71" ht="15" customHeight="1" x14ac:dyDescent="0.25">
      <c r="A204" s="53"/>
      <c r="B204" s="53"/>
      <c r="C204" s="2"/>
      <c r="D204" s="2"/>
      <c r="E204" s="2"/>
      <c r="F204" s="2"/>
      <c r="G204" s="2"/>
      <c r="H204" s="95"/>
      <c r="I204" s="96"/>
      <c r="J204" s="96"/>
      <c r="K204" s="96"/>
      <c r="L204" s="96"/>
      <c r="M204" s="96"/>
      <c r="N204" s="96"/>
      <c r="O204" s="96"/>
      <c r="P204" s="96"/>
      <c r="Q204" s="96"/>
      <c r="R204" s="97"/>
      <c r="S204" s="2"/>
      <c r="T204" s="2"/>
      <c r="U204" s="2"/>
      <c r="V204" s="2"/>
      <c r="W204" s="2"/>
      <c r="X204" s="53"/>
      <c r="Y204" s="53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69"/>
      <c r="AN204" s="69"/>
      <c r="AO204" s="69"/>
      <c r="AP204" s="69"/>
      <c r="AQ204" s="69"/>
      <c r="AR204" s="69"/>
      <c r="AS204" s="69"/>
      <c r="AT204" s="69"/>
      <c r="AU204" s="53"/>
      <c r="AV204" s="53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53"/>
      <c r="BS204" s="53"/>
    </row>
    <row r="205" spans="1:71" ht="15" customHeight="1" x14ac:dyDescent="0.25">
      <c r="A205" s="53"/>
      <c r="B205" s="53"/>
      <c r="C205" s="2"/>
      <c r="D205" s="2"/>
      <c r="E205" s="2"/>
      <c r="F205" s="2"/>
      <c r="G205" s="2"/>
      <c r="H205" s="98"/>
      <c r="I205" s="99"/>
      <c r="J205" s="99"/>
      <c r="K205" s="99"/>
      <c r="L205" s="99"/>
      <c r="M205" s="99"/>
      <c r="N205" s="99"/>
      <c r="O205" s="99"/>
      <c r="P205" s="99"/>
      <c r="Q205" s="99"/>
      <c r="R205" s="100"/>
      <c r="S205" s="2"/>
      <c r="T205" s="2"/>
      <c r="U205" s="2"/>
      <c r="V205" s="2"/>
      <c r="W205" s="2"/>
      <c r="X205" s="53"/>
      <c r="Y205" s="53"/>
      <c r="Z205" s="69"/>
      <c r="AA205" s="69"/>
      <c r="AB205" s="69"/>
      <c r="AC205" s="69"/>
      <c r="AD205" s="69"/>
      <c r="AE205" s="69"/>
      <c r="AF205" s="69"/>
      <c r="AG205" s="69"/>
      <c r="AH205" s="69"/>
      <c r="AI205" s="69"/>
      <c r="AJ205" s="69"/>
      <c r="AK205" s="69"/>
      <c r="AL205" s="69"/>
      <c r="AM205" s="69"/>
      <c r="AN205" s="69"/>
      <c r="AO205" s="69"/>
      <c r="AP205" s="69"/>
      <c r="AQ205" s="69"/>
      <c r="AR205" s="69"/>
      <c r="AS205" s="69"/>
      <c r="AT205" s="69"/>
      <c r="AU205" s="53"/>
      <c r="AV205" s="53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53"/>
      <c r="BS205" s="53"/>
    </row>
    <row r="206" spans="1:71" ht="15" customHeight="1" x14ac:dyDescent="0.25">
      <c r="A206" s="53"/>
      <c r="B206" s="53"/>
      <c r="C206" s="73" t="s">
        <v>31</v>
      </c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53"/>
      <c r="Y206" s="53"/>
      <c r="Z206" s="69"/>
      <c r="AA206" s="69"/>
      <c r="AB206" s="69"/>
      <c r="AC206" s="69"/>
      <c r="AD206" s="69"/>
      <c r="AE206" s="69"/>
      <c r="AF206" s="69"/>
      <c r="AG206" s="69"/>
      <c r="AH206" s="69"/>
      <c r="AI206" s="69"/>
      <c r="AJ206" s="69"/>
      <c r="AK206" s="69"/>
      <c r="AL206" s="69"/>
      <c r="AM206" s="69"/>
      <c r="AN206" s="69"/>
      <c r="AO206" s="69"/>
      <c r="AP206" s="69"/>
      <c r="AQ206" s="69"/>
      <c r="AR206" s="69"/>
      <c r="AS206" s="69"/>
      <c r="AT206" s="69"/>
      <c r="AU206" s="53"/>
      <c r="AV206" s="53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53"/>
      <c r="BS206" s="53"/>
    </row>
    <row r="207" spans="1:71" ht="15" customHeight="1" x14ac:dyDescent="0.25">
      <c r="A207" s="53"/>
      <c r="B207" s="5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53"/>
      <c r="Y207" s="53"/>
      <c r="Z207" s="69"/>
      <c r="AA207" s="69"/>
      <c r="AB207" s="69"/>
      <c r="AC207" s="69"/>
      <c r="AD207" s="69"/>
      <c r="AE207" s="69"/>
      <c r="AF207" s="69"/>
      <c r="AG207" s="69"/>
      <c r="AH207" s="69"/>
      <c r="AI207" s="69"/>
      <c r="AJ207" s="69"/>
      <c r="AK207" s="69"/>
      <c r="AL207" s="69"/>
      <c r="AM207" s="69"/>
      <c r="AN207" s="69"/>
      <c r="AO207" s="69"/>
      <c r="AP207" s="69"/>
      <c r="AQ207" s="69"/>
      <c r="AR207" s="69"/>
      <c r="AS207" s="69"/>
      <c r="AT207" s="69"/>
      <c r="AU207" s="53"/>
      <c r="AV207" s="53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53"/>
      <c r="BS207" s="53"/>
    </row>
    <row r="208" spans="1:71" ht="15" customHeight="1" x14ac:dyDescent="0.25">
      <c r="A208" s="53"/>
      <c r="B208" s="53"/>
      <c r="C208" s="74" t="s">
        <v>32</v>
      </c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53"/>
      <c r="Y208" s="53"/>
      <c r="Z208" s="69"/>
      <c r="AA208" s="69"/>
      <c r="AB208" s="69"/>
      <c r="AC208" s="69"/>
      <c r="AD208" s="69"/>
      <c r="AE208" s="69"/>
      <c r="AF208" s="69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AU208" s="53"/>
      <c r="AV208" s="53"/>
      <c r="AW208" s="75"/>
      <c r="AX208" s="75"/>
      <c r="AY208" s="75"/>
      <c r="AZ208" s="75"/>
      <c r="BA208" s="75"/>
      <c r="BB208" s="75"/>
      <c r="BC208" s="75"/>
      <c r="BD208" s="75"/>
      <c r="BE208" s="75"/>
      <c r="BF208" s="75"/>
      <c r="BG208" s="75"/>
      <c r="BH208" s="75"/>
      <c r="BI208" s="75"/>
      <c r="BJ208" s="75"/>
      <c r="BK208" s="75"/>
      <c r="BL208" s="75"/>
      <c r="BM208" s="75"/>
      <c r="BN208" s="75"/>
      <c r="BO208" s="75"/>
      <c r="BP208" s="75"/>
      <c r="BQ208" s="75"/>
      <c r="BR208" s="53"/>
      <c r="BS208" s="53"/>
    </row>
    <row r="209" spans="1:85" ht="15" customHeight="1" x14ac:dyDescent="0.25">
      <c r="A209" s="53"/>
      <c r="B209" s="53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53"/>
      <c r="Y209" s="53"/>
      <c r="Z209" s="69"/>
      <c r="AA209" s="69"/>
      <c r="AB209" s="69"/>
      <c r="AC209" s="69"/>
      <c r="AD209" s="69"/>
      <c r="AE209" s="69"/>
      <c r="AF209" s="69"/>
      <c r="AG209" s="69"/>
      <c r="AH209" s="69"/>
      <c r="AI209" s="69"/>
      <c r="AJ209" s="69"/>
      <c r="AK209" s="69"/>
      <c r="AL209" s="69"/>
      <c r="AM209" s="69"/>
      <c r="AN209" s="69"/>
      <c r="AO209" s="69"/>
      <c r="AP209" s="69"/>
      <c r="AQ209" s="69"/>
      <c r="AR209" s="69"/>
      <c r="AS209" s="69"/>
      <c r="AT209" s="69"/>
      <c r="AU209" s="53"/>
      <c r="AV209" s="53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53"/>
      <c r="BS209" s="53"/>
    </row>
    <row r="210" spans="1:85" ht="15" customHeight="1" x14ac:dyDescent="0.25">
      <c r="A210" s="53"/>
      <c r="B210" s="53"/>
      <c r="C210" s="71" t="s">
        <v>33</v>
      </c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53"/>
      <c r="Y210" s="53"/>
      <c r="Z210" s="69"/>
      <c r="AA210" s="69"/>
      <c r="AB210" s="69"/>
      <c r="AC210" s="69"/>
      <c r="AD210" s="69"/>
      <c r="AE210" s="69"/>
      <c r="AF210" s="69"/>
      <c r="AG210" s="69"/>
      <c r="AH210" s="69"/>
      <c r="AI210" s="69"/>
      <c r="AJ210" s="69"/>
      <c r="AK210" s="69"/>
      <c r="AL210" s="69"/>
      <c r="AM210" s="69"/>
      <c r="AN210" s="69"/>
      <c r="AO210" s="69"/>
      <c r="AP210" s="69"/>
      <c r="AQ210" s="69"/>
      <c r="AR210" s="69"/>
      <c r="AS210" s="69"/>
      <c r="AT210" s="69"/>
      <c r="AU210" s="53"/>
      <c r="AV210" s="53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53"/>
      <c r="BS210" s="53"/>
    </row>
    <row r="211" spans="1:85" ht="15" customHeight="1" x14ac:dyDescent="0.25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  <c r="BK211" s="53"/>
      <c r="BL211" s="53"/>
      <c r="BM211" s="53"/>
      <c r="BN211" s="53"/>
      <c r="BO211" s="53"/>
      <c r="BP211" s="53"/>
      <c r="BQ211" s="53"/>
      <c r="BR211" s="53"/>
      <c r="BS211" s="53"/>
      <c r="BT211" s="57" t="s">
        <v>41</v>
      </c>
      <c r="BU211" s="198" t="s">
        <v>38</v>
      </c>
      <c r="BV211" s="199"/>
      <c r="BW211" s="199"/>
      <c r="BX211" s="200"/>
      <c r="BY211" s="198" t="s">
        <v>39</v>
      </c>
      <c r="BZ211" s="199"/>
      <c r="CA211" s="199"/>
      <c r="CB211" s="200"/>
      <c r="CC211" s="198" t="s">
        <v>40</v>
      </c>
      <c r="CD211" s="199"/>
      <c r="CE211" s="199"/>
      <c r="CF211" s="200"/>
      <c r="CG211" t="s">
        <v>42</v>
      </c>
    </row>
    <row r="212" spans="1:85" ht="15" customHeight="1" x14ac:dyDescent="0.25">
      <c r="A212" s="53"/>
      <c r="B212" s="53"/>
      <c r="C212" s="69" t="s">
        <v>0</v>
      </c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69"/>
      <c r="R212" s="69"/>
      <c r="S212" s="69"/>
      <c r="T212" s="69"/>
      <c r="U212" s="69"/>
      <c r="V212" s="69"/>
      <c r="W212" s="69"/>
      <c r="X212" s="53"/>
      <c r="Y212" s="53"/>
      <c r="Z212" s="69" t="s">
        <v>0</v>
      </c>
      <c r="AA212" s="69"/>
      <c r="AB212" s="69"/>
      <c r="AC212" s="69"/>
      <c r="AD212" s="69"/>
      <c r="AE212" s="69"/>
      <c r="AF212" s="69"/>
      <c r="AG212" s="69"/>
      <c r="AH212" s="69"/>
      <c r="AI212" s="69"/>
      <c r="AJ212" s="69"/>
      <c r="AK212" s="69"/>
      <c r="AL212" s="69"/>
      <c r="AM212" s="69"/>
      <c r="AN212" s="69"/>
      <c r="AO212" s="69"/>
      <c r="AP212" s="69"/>
      <c r="AQ212" s="69"/>
      <c r="AR212" s="69"/>
      <c r="AS212" s="69"/>
      <c r="AT212" s="69"/>
      <c r="AU212" s="53"/>
      <c r="AV212" s="53"/>
      <c r="AW212" s="69" t="s">
        <v>0</v>
      </c>
      <c r="AX212" s="69"/>
      <c r="AY212" s="69"/>
      <c r="AZ212" s="69"/>
      <c r="BA212" s="69"/>
      <c r="BB212" s="69"/>
      <c r="BC212" s="69"/>
      <c r="BD212" s="69"/>
      <c r="BE212" s="69"/>
      <c r="BF212" s="69"/>
      <c r="BG212" s="69"/>
      <c r="BH212" s="69"/>
      <c r="BI212" s="69"/>
      <c r="BJ212" s="69"/>
      <c r="BK212" s="69"/>
      <c r="BL212" s="69"/>
      <c r="BM212" s="69"/>
      <c r="BN212" s="69"/>
      <c r="BO212" s="69"/>
      <c r="BP212" s="69"/>
      <c r="BQ212" s="69"/>
      <c r="BR212" s="53"/>
      <c r="BS212" s="53"/>
      <c r="BT212" s="58"/>
      <c r="BU212" s="61" t="str">
        <f ca="1">CELL("address",$C212)</f>
        <v>$C$212</v>
      </c>
      <c r="BV212" s="61" t="str">
        <f ca="1">CELL("address",$W231)</f>
        <v>$W$231</v>
      </c>
      <c r="BW212" s="61" t="b">
        <f ca="1">IF(CELL("contents",INDIRECT($BU212))&lt;&gt;"X",TRUE,FALSE)</f>
        <v>0</v>
      </c>
      <c r="BX212" s="60" t="str">
        <f ca="1">CONCATENATE(BU212,":",BV212)</f>
        <v>$C$212:$W$231</v>
      </c>
      <c r="BY212" s="61" t="str">
        <f ca="1">CELL("address",$Z212)</f>
        <v>$Z$212</v>
      </c>
      <c r="BZ212" s="61" t="str">
        <f ca="1">CELL("address",$AT231)</f>
        <v>$AT$231</v>
      </c>
      <c r="CA212" s="61" t="b">
        <f ca="1">IF(CELL("contents",INDIRECT($BY212))&lt;&gt;"X",TRUE,FALSE)</f>
        <v>0</v>
      </c>
      <c r="CB212" s="60" t="str">
        <f ca="1">CONCATENATE(BY212,":",BZ212)</f>
        <v>$Z$212:$AT$231</v>
      </c>
      <c r="CC212" s="61" t="str">
        <f ca="1">CELL("address",$AW212)</f>
        <v>$AW$212</v>
      </c>
      <c r="CD212" s="61" t="str">
        <f ca="1">CELL("address",$BQ231)</f>
        <v>$BQ$231</v>
      </c>
      <c r="CE212" s="61" t="b">
        <f ca="1">IF(CELL("contents",INDIRECT($CC212))&lt;&gt;"X",TRUE,FALSE)</f>
        <v>0</v>
      </c>
      <c r="CF212" s="60" t="str">
        <f ca="1">CONCATENATE(CC212,":",CD212)</f>
        <v>$AW$212:$BQ$231</v>
      </c>
      <c r="CG212" t="str">
        <f ca="1">_xlfn.IFNA(IF($BW:$BW=TRUE,1+MAX($CG$1:CG211),""),"")</f>
        <v/>
      </c>
    </row>
    <row r="213" spans="1:85" ht="15" customHeight="1" x14ac:dyDescent="0.25">
      <c r="A213" s="53"/>
      <c r="B213" s="53"/>
      <c r="C213" s="69"/>
      <c r="D213" s="69"/>
      <c r="E213" s="69"/>
      <c r="F213" s="69"/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69"/>
      <c r="R213" s="69"/>
      <c r="S213" s="69"/>
      <c r="T213" s="69"/>
      <c r="U213" s="69"/>
      <c r="V213" s="69"/>
      <c r="W213" s="69"/>
      <c r="X213" s="53"/>
      <c r="Y213" s="53"/>
      <c r="Z213" s="69"/>
      <c r="AA213" s="69"/>
      <c r="AB213" s="69"/>
      <c r="AC213" s="69"/>
      <c r="AD213" s="69"/>
      <c r="AE213" s="69"/>
      <c r="AF213" s="69"/>
      <c r="AG213" s="69"/>
      <c r="AH213" s="69"/>
      <c r="AI213" s="69"/>
      <c r="AJ213" s="69"/>
      <c r="AK213" s="69"/>
      <c r="AL213" s="69"/>
      <c r="AM213" s="69"/>
      <c r="AN213" s="69"/>
      <c r="AO213" s="69"/>
      <c r="AP213" s="69"/>
      <c r="AQ213" s="69"/>
      <c r="AR213" s="69"/>
      <c r="AS213" s="69"/>
      <c r="AT213" s="69"/>
      <c r="AU213" s="53"/>
      <c r="AV213" s="53"/>
      <c r="AW213" s="69"/>
      <c r="AX213" s="69"/>
      <c r="AY213" s="69"/>
      <c r="AZ213" s="69"/>
      <c r="BA213" s="69"/>
      <c r="BB213" s="69"/>
      <c r="BC213" s="69"/>
      <c r="BD213" s="69"/>
      <c r="BE213" s="69"/>
      <c r="BF213" s="69"/>
      <c r="BG213" s="69"/>
      <c r="BH213" s="69"/>
      <c r="BI213" s="69"/>
      <c r="BJ213" s="69"/>
      <c r="BK213" s="69"/>
      <c r="BL213" s="69"/>
      <c r="BM213" s="69"/>
      <c r="BN213" s="69"/>
      <c r="BO213" s="69"/>
      <c r="BP213" s="69"/>
      <c r="BQ213" s="69"/>
      <c r="BR213" s="53"/>
      <c r="BS213" s="53"/>
      <c r="BU213" s="58"/>
      <c r="BV213" s="58"/>
      <c r="BW213" s="58"/>
      <c r="BX213" s="50"/>
      <c r="BY213" s="58"/>
      <c r="BZ213" s="58"/>
      <c r="CA213" s="58"/>
      <c r="CB213" s="50"/>
      <c r="CC213" s="58"/>
      <c r="CD213" s="58"/>
      <c r="CE213" s="58"/>
    </row>
    <row r="214" spans="1:85" ht="15" customHeight="1" x14ac:dyDescent="0.25">
      <c r="A214" s="53"/>
      <c r="B214" s="53"/>
      <c r="C214" s="69"/>
      <c r="D214" s="69"/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69"/>
      <c r="R214" s="69"/>
      <c r="S214" s="69"/>
      <c r="T214" s="69"/>
      <c r="U214" s="69"/>
      <c r="V214" s="69"/>
      <c r="W214" s="69"/>
      <c r="X214" s="53"/>
      <c r="Y214" s="53"/>
      <c r="Z214" s="69"/>
      <c r="AA214" s="69"/>
      <c r="AB214" s="69"/>
      <c r="AC214" s="69"/>
      <c r="AD214" s="69"/>
      <c r="AE214" s="69"/>
      <c r="AF214" s="69"/>
      <c r="AG214" s="69"/>
      <c r="AH214" s="69"/>
      <c r="AI214" s="69"/>
      <c r="AJ214" s="69"/>
      <c r="AK214" s="69"/>
      <c r="AL214" s="69"/>
      <c r="AM214" s="69"/>
      <c r="AN214" s="69"/>
      <c r="AO214" s="69"/>
      <c r="AP214" s="69"/>
      <c r="AQ214" s="69"/>
      <c r="AR214" s="69"/>
      <c r="AS214" s="69"/>
      <c r="AT214" s="69"/>
      <c r="AU214" s="53"/>
      <c r="AV214" s="53"/>
      <c r="AW214" s="69"/>
      <c r="AX214" s="69"/>
      <c r="AY214" s="69"/>
      <c r="AZ214" s="69"/>
      <c r="BA214" s="69"/>
      <c r="BB214" s="69"/>
      <c r="BC214" s="69"/>
      <c r="BD214" s="69"/>
      <c r="BE214" s="69"/>
      <c r="BF214" s="69"/>
      <c r="BG214" s="69"/>
      <c r="BH214" s="69"/>
      <c r="BI214" s="69"/>
      <c r="BJ214" s="69"/>
      <c r="BK214" s="69"/>
      <c r="BL214" s="69"/>
      <c r="BM214" s="69"/>
      <c r="BN214" s="69"/>
      <c r="BO214" s="69"/>
      <c r="BP214" s="69"/>
      <c r="BQ214" s="69"/>
      <c r="BR214" s="53"/>
      <c r="BS214" s="53"/>
    </row>
    <row r="215" spans="1:85" ht="15" customHeight="1" x14ac:dyDescent="0.25">
      <c r="A215" s="53"/>
      <c r="B215" s="53"/>
      <c r="C215" s="69"/>
      <c r="D215" s="69"/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69"/>
      <c r="S215" s="69"/>
      <c r="T215" s="69"/>
      <c r="U215" s="69"/>
      <c r="V215" s="69"/>
      <c r="W215" s="69"/>
      <c r="X215" s="53"/>
      <c r="Y215" s="53"/>
      <c r="Z215" s="69"/>
      <c r="AA215" s="69"/>
      <c r="AB215" s="69"/>
      <c r="AC215" s="69"/>
      <c r="AD215" s="69"/>
      <c r="AE215" s="69"/>
      <c r="AF215" s="69"/>
      <c r="AG215" s="69"/>
      <c r="AH215" s="69"/>
      <c r="AI215" s="69"/>
      <c r="AJ215" s="69"/>
      <c r="AK215" s="69"/>
      <c r="AL215" s="69"/>
      <c r="AM215" s="69"/>
      <c r="AN215" s="69"/>
      <c r="AO215" s="69"/>
      <c r="AP215" s="69"/>
      <c r="AQ215" s="69"/>
      <c r="AR215" s="69"/>
      <c r="AS215" s="69"/>
      <c r="AT215" s="69"/>
      <c r="AU215" s="53"/>
      <c r="AV215" s="53"/>
      <c r="AW215" s="69"/>
      <c r="AX215" s="69"/>
      <c r="AY215" s="69"/>
      <c r="AZ215" s="69"/>
      <c r="BA215" s="69"/>
      <c r="BB215" s="69"/>
      <c r="BC215" s="69"/>
      <c r="BD215" s="69"/>
      <c r="BE215" s="69"/>
      <c r="BF215" s="69"/>
      <c r="BG215" s="69"/>
      <c r="BH215" s="69"/>
      <c r="BI215" s="69"/>
      <c r="BJ215" s="69"/>
      <c r="BK215" s="69"/>
      <c r="BL215" s="69"/>
      <c r="BM215" s="69"/>
      <c r="BN215" s="69"/>
      <c r="BO215" s="69"/>
      <c r="BP215" s="69"/>
      <c r="BQ215" s="69"/>
      <c r="BR215" s="53"/>
      <c r="BS215" s="53"/>
    </row>
    <row r="216" spans="1:85" ht="15" customHeight="1" x14ac:dyDescent="0.25">
      <c r="A216" s="53"/>
      <c r="B216" s="53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69"/>
      <c r="S216" s="69"/>
      <c r="T216" s="69"/>
      <c r="U216" s="69"/>
      <c r="V216" s="69"/>
      <c r="W216" s="69"/>
      <c r="X216" s="53"/>
      <c r="Y216" s="53"/>
      <c r="Z216" s="69"/>
      <c r="AA216" s="69"/>
      <c r="AB216" s="69"/>
      <c r="AC216" s="69"/>
      <c r="AD216" s="69"/>
      <c r="AE216" s="69"/>
      <c r="AF216" s="69"/>
      <c r="AG216" s="69"/>
      <c r="AH216" s="69"/>
      <c r="AI216" s="69"/>
      <c r="AJ216" s="69"/>
      <c r="AK216" s="69"/>
      <c r="AL216" s="69"/>
      <c r="AM216" s="69"/>
      <c r="AN216" s="69"/>
      <c r="AO216" s="69"/>
      <c r="AP216" s="69"/>
      <c r="AQ216" s="69"/>
      <c r="AR216" s="69"/>
      <c r="AS216" s="69"/>
      <c r="AT216" s="69"/>
      <c r="AU216" s="53"/>
      <c r="AV216" s="53"/>
      <c r="AW216" s="69"/>
      <c r="AX216" s="69"/>
      <c r="AY216" s="69"/>
      <c r="AZ216" s="69"/>
      <c r="BA216" s="69"/>
      <c r="BB216" s="69"/>
      <c r="BC216" s="69"/>
      <c r="BD216" s="69"/>
      <c r="BE216" s="69"/>
      <c r="BF216" s="69"/>
      <c r="BG216" s="69"/>
      <c r="BH216" s="69"/>
      <c r="BI216" s="69"/>
      <c r="BJ216" s="69"/>
      <c r="BK216" s="69"/>
      <c r="BL216" s="69"/>
      <c r="BM216" s="69"/>
      <c r="BN216" s="69"/>
      <c r="BO216" s="69"/>
      <c r="BP216" s="69"/>
      <c r="BQ216" s="69"/>
      <c r="BR216" s="53"/>
      <c r="BS216" s="53"/>
    </row>
    <row r="217" spans="1:85" ht="15" customHeight="1" x14ac:dyDescent="0.25">
      <c r="A217" s="53"/>
      <c r="B217" s="53"/>
      <c r="C217" s="69"/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69"/>
      <c r="S217" s="69"/>
      <c r="T217" s="69"/>
      <c r="U217" s="69"/>
      <c r="V217" s="69"/>
      <c r="W217" s="69"/>
      <c r="X217" s="53"/>
      <c r="Y217" s="53"/>
      <c r="Z217" s="69"/>
      <c r="AA217" s="69"/>
      <c r="AB217" s="69"/>
      <c r="AC217" s="69"/>
      <c r="AD217" s="69"/>
      <c r="AE217" s="69"/>
      <c r="AF217" s="69"/>
      <c r="AG217" s="69"/>
      <c r="AH217" s="69"/>
      <c r="AI217" s="69"/>
      <c r="AJ217" s="69"/>
      <c r="AK217" s="69"/>
      <c r="AL217" s="69"/>
      <c r="AM217" s="69"/>
      <c r="AN217" s="69"/>
      <c r="AO217" s="69"/>
      <c r="AP217" s="69"/>
      <c r="AQ217" s="69"/>
      <c r="AR217" s="69"/>
      <c r="AS217" s="69"/>
      <c r="AT217" s="69"/>
      <c r="AU217" s="53"/>
      <c r="AV217" s="53"/>
      <c r="AW217" s="69"/>
      <c r="AX217" s="69"/>
      <c r="AY217" s="69"/>
      <c r="AZ217" s="69"/>
      <c r="BA217" s="69"/>
      <c r="BB217" s="69"/>
      <c r="BC217" s="69"/>
      <c r="BD217" s="69"/>
      <c r="BE217" s="69"/>
      <c r="BF217" s="69"/>
      <c r="BG217" s="69"/>
      <c r="BH217" s="69"/>
      <c r="BI217" s="69"/>
      <c r="BJ217" s="69"/>
      <c r="BK217" s="69"/>
      <c r="BL217" s="69"/>
      <c r="BM217" s="69"/>
      <c r="BN217" s="69"/>
      <c r="BO217" s="69"/>
      <c r="BP217" s="69"/>
      <c r="BQ217" s="69"/>
      <c r="BR217" s="53"/>
      <c r="BS217" s="53"/>
    </row>
    <row r="218" spans="1:85" ht="15" customHeight="1" x14ac:dyDescent="0.25">
      <c r="A218" s="53"/>
      <c r="B218" s="53"/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69"/>
      <c r="R218" s="69"/>
      <c r="S218" s="69"/>
      <c r="T218" s="69"/>
      <c r="U218" s="69"/>
      <c r="V218" s="69"/>
      <c r="W218" s="69"/>
      <c r="X218" s="53"/>
      <c r="Y218" s="53"/>
      <c r="Z218" s="69"/>
      <c r="AA218" s="69"/>
      <c r="AB218" s="69"/>
      <c r="AC218" s="69"/>
      <c r="AD218" s="69"/>
      <c r="AE218" s="69"/>
      <c r="AF218" s="69"/>
      <c r="AG218" s="69"/>
      <c r="AH218" s="69"/>
      <c r="AI218" s="69"/>
      <c r="AJ218" s="69"/>
      <c r="AK218" s="69"/>
      <c r="AL218" s="69"/>
      <c r="AM218" s="69"/>
      <c r="AN218" s="69"/>
      <c r="AO218" s="69"/>
      <c r="AP218" s="69"/>
      <c r="AQ218" s="69"/>
      <c r="AR218" s="69"/>
      <c r="AS218" s="69"/>
      <c r="AT218" s="69"/>
      <c r="AU218" s="53"/>
      <c r="AV218" s="53"/>
      <c r="AW218" s="69"/>
      <c r="AX218" s="69"/>
      <c r="AY218" s="69"/>
      <c r="AZ218" s="69"/>
      <c r="BA218" s="69"/>
      <c r="BB218" s="69"/>
      <c r="BC218" s="69"/>
      <c r="BD218" s="69"/>
      <c r="BE218" s="69"/>
      <c r="BF218" s="69"/>
      <c r="BG218" s="69"/>
      <c r="BH218" s="69"/>
      <c r="BI218" s="69"/>
      <c r="BJ218" s="69"/>
      <c r="BK218" s="69"/>
      <c r="BL218" s="69"/>
      <c r="BM218" s="69"/>
      <c r="BN218" s="69"/>
      <c r="BO218" s="69"/>
      <c r="BP218" s="69"/>
      <c r="BQ218" s="69"/>
      <c r="BR218" s="53"/>
      <c r="BS218" s="53"/>
    </row>
    <row r="219" spans="1:85" ht="15" customHeight="1" x14ac:dyDescent="0.25">
      <c r="A219" s="53"/>
      <c r="B219" s="53"/>
      <c r="C219" s="69"/>
      <c r="D219" s="69"/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69"/>
      <c r="S219" s="69"/>
      <c r="T219" s="69"/>
      <c r="U219" s="69"/>
      <c r="V219" s="69"/>
      <c r="W219" s="69"/>
      <c r="X219" s="53"/>
      <c r="Y219" s="53"/>
      <c r="Z219" s="69"/>
      <c r="AA219" s="69"/>
      <c r="AB219" s="69"/>
      <c r="AC219" s="69"/>
      <c r="AD219" s="69"/>
      <c r="AE219" s="69"/>
      <c r="AF219" s="69"/>
      <c r="AG219" s="69"/>
      <c r="AH219" s="69"/>
      <c r="AI219" s="69"/>
      <c r="AJ219" s="69"/>
      <c r="AK219" s="69"/>
      <c r="AL219" s="69"/>
      <c r="AM219" s="69"/>
      <c r="AN219" s="69"/>
      <c r="AO219" s="69"/>
      <c r="AP219" s="69"/>
      <c r="AQ219" s="69"/>
      <c r="AR219" s="69"/>
      <c r="AS219" s="69"/>
      <c r="AT219" s="69"/>
      <c r="AU219" s="53"/>
      <c r="AV219" s="53"/>
      <c r="AW219" s="69"/>
      <c r="AX219" s="69"/>
      <c r="AY219" s="69"/>
      <c r="AZ219" s="69"/>
      <c r="BA219" s="69"/>
      <c r="BB219" s="69"/>
      <c r="BC219" s="69"/>
      <c r="BD219" s="69"/>
      <c r="BE219" s="69"/>
      <c r="BF219" s="69"/>
      <c r="BG219" s="69"/>
      <c r="BH219" s="69"/>
      <c r="BI219" s="69"/>
      <c r="BJ219" s="69"/>
      <c r="BK219" s="69"/>
      <c r="BL219" s="69"/>
      <c r="BM219" s="69"/>
      <c r="BN219" s="69"/>
      <c r="BO219" s="69"/>
      <c r="BP219" s="69"/>
      <c r="BQ219" s="69"/>
      <c r="BR219" s="53"/>
      <c r="BS219" s="53"/>
    </row>
    <row r="220" spans="1:85" ht="15" customHeight="1" x14ac:dyDescent="0.25">
      <c r="A220" s="53"/>
      <c r="B220" s="53"/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69"/>
      <c r="P220" s="69"/>
      <c r="Q220" s="69"/>
      <c r="R220" s="69"/>
      <c r="S220" s="69"/>
      <c r="T220" s="69"/>
      <c r="U220" s="69"/>
      <c r="V220" s="69"/>
      <c r="W220" s="69"/>
      <c r="X220" s="53"/>
      <c r="Y220" s="53"/>
      <c r="Z220" s="69"/>
      <c r="AA220" s="69"/>
      <c r="AB220" s="69"/>
      <c r="AC220" s="69"/>
      <c r="AD220" s="69"/>
      <c r="AE220" s="69"/>
      <c r="AF220" s="69"/>
      <c r="AG220" s="69"/>
      <c r="AH220" s="69"/>
      <c r="AI220" s="69"/>
      <c r="AJ220" s="69"/>
      <c r="AK220" s="69"/>
      <c r="AL220" s="69"/>
      <c r="AM220" s="69"/>
      <c r="AN220" s="69"/>
      <c r="AO220" s="69"/>
      <c r="AP220" s="69"/>
      <c r="AQ220" s="69"/>
      <c r="AR220" s="69"/>
      <c r="AS220" s="69"/>
      <c r="AT220" s="69"/>
      <c r="AU220" s="53"/>
      <c r="AV220" s="53"/>
      <c r="AW220" s="69"/>
      <c r="AX220" s="69"/>
      <c r="AY220" s="69"/>
      <c r="AZ220" s="69"/>
      <c r="BA220" s="69"/>
      <c r="BB220" s="69"/>
      <c r="BC220" s="69"/>
      <c r="BD220" s="69"/>
      <c r="BE220" s="69"/>
      <c r="BF220" s="69"/>
      <c r="BG220" s="69"/>
      <c r="BH220" s="69"/>
      <c r="BI220" s="69"/>
      <c r="BJ220" s="69"/>
      <c r="BK220" s="69"/>
      <c r="BL220" s="69"/>
      <c r="BM220" s="69"/>
      <c r="BN220" s="69"/>
      <c r="BO220" s="69"/>
      <c r="BP220" s="69"/>
      <c r="BQ220" s="69"/>
      <c r="BR220" s="53"/>
      <c r="BS220" s="53"/>
    </row>
    <row r="221" spans="1:85" ht="15" customHeight="1" x14ac:dyDescent="0.25">
      <c r="A221" s="53"/>
      <c r="B221" s="53"/>
      <c r="C221" s="69"/>
      <c r="D221" s="69"/>
      <c r="E221" s="69"/>
      <c r="F221" s="69"/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69"/>
      <c r="R221" s="69"/>
      <c r="S221" s="69"/>
      <c r="T221" s="69"/>
      <c r="U221" s="69"/>
      <c r="V221" s="69"/>
      <c r="W221" s="69"/>
      <c r="X221" s="53"/>
      <c r="Y221" s="53"/>
      <c r="Z221" s="69"/>
      <c r="AA221" s="69"/>
      <c r="AB221" s="69"/>
      <c r="AC221" s="69"/>
      <c r="AD221" s="69"/>
      <c r="AE221" s="69"/>
      <c r="AF221" s="69"/>
      <c r="AG221" s="69"/>
      <c r="AH221" s="69"/>
      <c r="AI221" s="69"/>
      <c r="AJ221" s="69"/>
      <c r="AK221" s="69"/>
      <c r="AL221" s="69"/>
      <c r="AM221" s="69"/>
      <c r="AN221" s="69"/>
      <c r="AO221" s="69"/>
      <c r="AP221" s="69"/>
      <c r="AQ221" s="69"/>
      <c r="AR221" s="69"/>
      <c r="AS221" s="69"/>
      <c r="AT221" s="69"/>
      <c r="AU221" s="53"/>
      <c r="AV221" s="53"/>
      <c r="AW221" s="69"/>
      <c r="AX221" s="69"/>
      <c r="AY221" s="69"/>
      <c r="AZ221" s="69"/>
      <c r="BA221" s="69"/>
      <c r="BB221" s="69"/>
      <c r="BC221" s="69"/>
      <c r="BD221" s="69"/>
      <c r="BE221" s="69"/>
      <c r="BF221" s="69"/>
      <c r="BG221" s="69"/>
      <c r="BH221" s="69"/>
      <c r="BI221" s="69"/>
      <c r="BJ221" s="69"/>
      <c r="BK221" s="69"/>
      <c r="BL221" s="69"/>
      <c r="BM221" s="69"/>
      <c r="BN221" s="69"/>
      <c r="BO221" s="69"/>
      <c r="BP221" s="69"/>
      <c r="BQ221" s="69"/>
      <c r="BR221" s="53"/>
      <c r="BS221" s="53"/>
    </row>
    <row r="222" spans="1:85" ht="15" customHeight="1" x14ac:dyDescent="0.25">
      <c r="A222" s="53"/>
      <c r="B222" s="53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69"/>
      <c r="R222" s="69"/>
      <c r="S222" s="69"/>
      <c r="T222" s="69"/>
      <c r="U222" s="69"/>
      <c r="V222" s="69"/>
      <c r="W222" s="69"/>
      <c r="X222" s="53"/>
      <c r="Y222" s="53"/>
      <c r="Z222" s="69"/>
      <c r="AA222" s="69"/>
      <c r="AB222" s="69"/>
      <c r="AC222" s="69"/>
      <c r="AD222" s="69"/>
      <c r="AE222" s="69"/>
      <c r="AF222" s="69"/>
      <c r="AG222" s="69"/>
      <c r="AH222" s="69"/>
      <c r="AI222" s="69"/>
      <c r="AJ222" s="69"/>
      <c r="AK222" s="69"/>
      <c r="AL222" s="69"/>
      <c r="AM222" s="69"/>
      <c r="AN222" s="69"/>
      <c r="AO222" s="69"/>
      <c r="AP222" s="69"/>
      <c r="AQ222" s="69"/>
      <c r="AR222" s="69"/>
      <c r="AS222" s="69"/>
      <c r="AT222" s="69"/>
      <c r="AU222" s="53"/>
      <c r="AV222" s="53"/>
      <c r="AW222" s="69"/>
      <c r="AX222" s="69"/>
      <c r="AY222" s="69"/>
      <c r="AZ222" s="69"/>
      <c r="BA222" s="69"/>
      <c r="BB222" s="69"/>
      <c r="BC222" s="69"/>
      <c r="BD222" s="69"/>
      <c r="BE222" s="69"/>
      <c r="BF222" s="69"/>
      <c r="BG222" s="69"/>
      <c r="BH222" s="69"/>
      <c r="BI222" s="69"/>
      <c r="BJ222" s="69"/>
      <c r="BK222" s="69"/>
      <c r="BL222" s="69"/>
      <c r="BM222" s="69"/>
      <c r="BN222" s="69"/>
      <c r="BO222" s="69"/>
      <c r="BP222" s="69"/>
      <c r="BQ222" s="69"/>
      <c r="BR222" s="53"/>
      <c r="BS222" s="53"/>
    </row>
    <row r="223" spans="1:85" ht="15" customHeight="1" x14ac:dyDescent="0.25">
      <c r="A223" s="53"/>
      <c r="B223" s="53"/>
      <c r="C223" s="69"/>
      <c r="D223" s="69"/>
      <c r="E223" s="69"/>
      <c r="F223" s="69"/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69"/>
      <c r="R223" s="69"/>
      <c r="S223" s="69"/>
      <c r="T223" s="69"/>
      <c r="U223" s="69"/>
      <c r="V223" s="69"/>
      <c r="W223" s="69"/>
      <c r="X223" s="53"/>
      <c r="Y223" s="53"/>
      <c r="Z223" s="69"/>
      <c r="AA223" s="69"/>
      <c r="AB223" s="69"/>
      <c r="AC223" s="69"/>
      <c r="AD223" s="69"/>
      <c r="AE223" s="69"/>
      <c r="AF223" s="69"/>
      <c r="AG223" s="69"/>
      <c r="AH223" s="69"/>
      <c r="AI223" s="69"/>
      <c r="AJ223" s="69"/>
      <c r="AK223" s="69"/>
      <c r="AL223" s="69"/>
      <c r="AM223" s="69"/>
      <c r="AN223" s="69"/>
      <c r="AO223" s="69"/>
      <c r="AP223" s="69"/>
      <c r="AQ223" s="69"/>
      <c r="AR223" s="69"/>
      <c r="AS223" s="69"/>
      <c r="AT223" s="69"/>
      <c r="AU223" s="53"/>
      <c r="AV223" s="53"/>
      <c r="AW223" s="69"/>
      <c r="AX223" s="69"/>
      <c r="AY223" s="69"/>
      <c r="AZ223" s="69"/>
      <c r="BA223" s="69"/>
      <c r="BB223" s="69"/>
      <c r="BC223" s="69"/>
      <c r="BD223" s="69"/>
      <c r="BE223" s="69"/>
      <c r="BF223" s="69"/>
      <c r="BG223" s="69"/>
      <c r="BH223" s="69"/>
      <c r="BI223" s="69"/>
      <c r="BJ223" s="69"/>
      <c r="BK223" s="69"/>
      <c r="BL223" s="69"/>
      <c r="BM223" s="69"/>
      <c r="BN223" s="69"/>
      <c r="BO223" s="69"/>
      <c r="BP223" s="69"/>
      <c r="BQ223" s="69"/>
      <c r="BR223" s="53"/>
      <c r="BS223" s="53"/>
    </row>
    <row r="224" spans="1:85" ht="15" customHeight="1" x14ac:dyDescent="0.25">
      <c r="A224" s="53"/>
      <c r="B224" s="53"/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69"/>
      <c r="P224" s="69"/>
      <c r="Q224" s="69"/>
      <c r="R224" s="69"/>
      <c r="S224" s="69"/>
      <c r="T224" s="69"/>
      <c r="U224" s="69"/>
      <c r="V224" s="69"/>
      <c r="W224" s="69"/>
      <c r="X224" s="53"/>
      <c r="Y224" s="53"/>
      <c r="Z224" s="69"/>
      <c r="AA224" s="69"/>
      <c r="AB224" s="69"/>
      <c r="AC224" s="69"/>
      <c r="AD224" s="69"/>
      <c r="AE224" s="69"/>
      <c r="AF224" s="69"/>
      <c r="AG224" s="69"/>
      <c r="AH224" s="69"/>
      <c r="AI224" s="69"/>
      <c r="AJ224" s="69"/>
      <c r="AK224" s="69"/>
      <c r="AL224" s="69"/>
      <c r="AM224" s="69"/>
      <c r="AN224" s="69"/>
      <c r="AO224" s="69"/>
      <c r="AP224" s="69"/>
      <c r="AQ224" s="69"/>
      <c r="AR224" s="69"/>
      <c r="AS224" s="69"/>
      <c r="AT224" s="69"/>
      <c r="AU224" s="53"/>
      <c r="AV224" s="53"/>
      <c r="AW224" s="69"/>
      <c r="AX224" s="69"/>
      <c r="AY224" s="69"/>
      <c r="AZ224" s="69"/>
      <c r="BA224" s="69"/>
      <c r="BB224" s="69"/>
      <c r="BC224" s="69"/>
      <c r="BD224" s="69"/>
      <c r="BE224" s="69"/>
      <c r="BF224" s="69"/>
      <c r="BG224" s="69"/>
      <c r="BH224" s="69"/>
      <c r="BI224" s="69"/>
      <c r="BJ224" s="69"/>
      <c r="BK224" s="69"/>
      <c r="BL224" s="69"/>
      <c r="BM224" s="69"/>
      <c r="BN224" s="69"/>
      <c r="BO224" s="69"/>
      <c r="BP224" s="69"/>
      <c r="BQ224" s="69"/>
      <c r="BR224" s="53"/>
      <c r="BS224" s="53"/>
    </row>
    <row r="225" spans="1:85" ht="15" customHeight="1" x14ac:dyDescent="0.25">
      <c r="A225" s="53"/>
      <c r="B225" s="53"/>
      <c r="C225" s="69"/>
      <c r="D225" s="69"/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69"/>
      <c r="S225" s="69"/>
      <c r="T225" s="69"/>
      <c r="U225" s="69"/>
      <c r="V225" s="69"/>
      <c r="W225" s="69"/>
      <c r="X225" s="53"/>
      <c r="Y225" s="53"/>
      <c r="Z225" s="69"/>
      <c r="AA225" s="69"/>
      <c r="AB225" s="69"/>
      <c r="AC225" s="69"/>
      <c r="AD225" s="69"/>
      <c r="AE225" s="69"/>
      <c r="AF225" s="69"/>
      <c r="AG225" s="69"/>
      <c r="AH225" s="69"/>
      <c r="AI225" s="69"/>
      <c r="AJ225" s="69"/>
      <c r="AK225" s="69"/>
      <c r="AL225" s="69"/>
      <c r="AM225" s="69"/>
      <c r="AN225" s="69"/>
      <c r="AO225" s="69"/>
      <c r="AP225" s="69"/>
      <c r="AQ225" s="69"/>
      <c r="AR225" s="69"/>
      <c r="AS225" s="69"/>
      <c r="AT225" s="69"/>
      <c r="AU225" s="53"/>
      <c r="AV225" s="53"/>
      <c r="AW225" s="69"/>
      <c r="AX225" s="69"/>
      <c r="AY225" s="69"/>
      <c r="AZ225" s="69"/>
      <c r="BA225" s="69"/>
      <c r="BB225" s="69"/>
      <c r="BC225" s="69"/>
      <c r="BD225" s="69"/>
      <c r="BE225" s="69"/>
      <c r="BF225" s="69"/>
      <c r="BG225" s="69"/>
      <c r="BH225" s="69"/>
      <c r="BI225" s="69"/>
      <c r="BJ225" s="69"/>
      <c r="BK225" s="69"/>
      <c r="BL225" s="69"/>
      <c r="BM225" s="69"/>
      <c r="BN225" s="69"/>
      <c r="BO225" s="69"/>
      <c r="BP225" s="69"/>
      <c r="BQ225" s="69"/>
      <c r="BR225" s="53"/>
      <c r="BS225" s="53"/>
    </row>
    <row r="226" spans="1:85" ht="15" customHeight="1" x14ac:dyDescent="0.25">
      <c r="A226" s="53"/>
      <c r="B226" s="53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69"/>
      <c r="S226" s="69"/>
      <c r="T226" s="69"/>
      <c r="U226" s="69"/>
      <c r="V226" s="69"/>
      <c r="W226" s="69"/>
      <c r="X226" s="53"/>
      <c r="Y226" s="53"/>
      <c r="Z226" s="69"/>
      <c r="AA226" s="69"/>
      <c r="AB226" s="69"/>
      <c r="AC226" s="69"/>
      <c r="AD226" s="69"/>
      <c r="AE226" s="69"/>
      <c r="AF226" s="69"/>
      <c r="AG226" s="69"/>
      <c r="AH226" s="69"/>
      <c r="AI226" s="69"/>
      <c r="AJ226" s="69"/>
      <c r="AK226" s="69"/>
      <c r="AL226" s="69"/>
      <c r="AM226" s="69"/>
      <c r="AN226" s="69"/>
      <c r="AO226" s="69"/>
      <c r="AP226" s="69"/>
      <c r="AQ226" s="69"/>
      <c r="AR226" s="69"/>
      <c r="AS226" s="69"/>
      <c r="AT226" s="69"/>
      <c r="AU226" s="53"/>
      <c r="AV226" s="53"/>
      <c r="AW226" s="69"/>
      <c r="AX226" s="69"/>
      <c r="AY226" s="69"/>
      <c r="AZ226" s="69"/>
      <c r="BA226" s="69"/>
      <c r="BB226" s="69"/>
      <c r="BC226" s="69"/>
      <c r="BD226" s="69"/>
      <c r="BE226" s="69"/>
      <c r="BF226" s="69"/>
      <c r="BG226" s="69"/>
      <c r="BH226" s="69"/>
      <c r="BI226" s="69"/>
      <c r="BJ226" s="69"/>
      <c r="BK226" s="69"/>
      <c r="BL226" s="69"/>
      <c r="BM226" s="69"/>
      <c r="BN226" s="69"/>
      <c r="BO226" s="69"/>
      <c r="BP226" s="69"/>
      <c r="BQ226" s="69"/>
      <c r="BR226" s="53"/>
      <c r="BS226" s="53"/>
    </row>
    <row r="227" spans="1:85" ht="15" customHeight="1" x14ac:dyDescent="0.25">
      <c r="A227" s="53"/>
      <c r="B227" s="53"/>
      <c r="C227" s="69"/>
      <c r="D227" s="69"/>
      <c r="E227" s="69"/>
      <c r="F227" s="69"/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69"/>
      <c r="R227" s="69"/>
      <c r="S227" s="69"/>
      <c r="T227" s="69"/>
      <c r="U227" s="69"/>
      <c r="V227" s="69"/>
      <c r="W227" s="69"/>
      <c r="X227" s="53"/>
      <c r="Y227" s="53"/>
      <c r="Z227" s="69"/>
      <c r="AA227" s="69"/>
      <c r="AB227" s="69"/>
      <c r="AC227" s="69"/>
      <c r="AD227" s="69"/>
      <c r="AE227" s="69"/>
      <c r="AF227" s="69"/>
      <c r="AG227" s="69"/>
      <c r="AH227" s="69"/>
      <c r="AI227" s="69"/>
      <c r="AJ227" s="69"/>
      <c r="AK227" s="69"/>
      <c r="AL227" s="69"/>
      <c r="AM227" s="69"/>
      <c r="AN227" s="69"/>
      <c r="AO227" s="69"/>
      <c r="AP227" s="69"/>
      <c r="AQ227" s="69"/>
      <c r="AR227" s="69"/>
      <c r="AS227" s="69"/>
      <c r="AT227" s="69"/>
      <c r="AU227" s="53"/>
      <c r="AV227" s="53"/>
      <c r="AW227" s="69"/>
      <c r="AX227" s="69"/>
      <c r="AY227" s="69"/>
      <c r="AZ227" s="69"/>
      <c r="BA227" s="69"/>
      <c r="BB227" s="69"/>
      <c r="BC227" s="69"/>
      <c r="BD227" s="69"/>
      <c r="BE227" s="69"/>
      <c r="BF227" s="69"/>
      <c r="BG227" s="69"/>
      <c r="BH227" s="69"/>
      <c r="BI227" s="69"/>
      <c r="BJ227" s="69"/>
      <c r="BK227" s="69"/>
      <c r="BL227" s="69"/>
      <c r="BM227" s="69"/>
      <c r="BN227" s="69"/>
      <c r="BO227" s="69"/>
      <c r="BP227" s="69"/>
      <c r="BQ227" s="69"/>
      <c r="BR227" s="53"/>
      <c r="BS227" s="53"/>
    </row>
    <row r="228" spans="1:85" ht="15" customHeight="1" x14ac:dyDescent="0.25">
      <c r="A228" s="53"/>
      <c r="B228" s="53"/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53"/>
      <c r="Y228" s="53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53"/>
      <c r="AV228" s="53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69"/>
      <c r="BH228" s="69"/>
      <c r="BI228" s="69"/>
      <c r="BJ228" s="69"/>
      <c r="BK228" s="69"/>
      <c r="BL228" s="69"/>
      <c r="BM228" s="69"/>
      <c r="BN228" s="69"/>
      <c r="BO228" s="69"/>
      <c r="BP228" s="69"/>
      <c r="BQ228" s="69"/>
      <c r="BR228" s="53"/>
      <c r="BS228" s="53"/>
    </row>
    <row r="229" spans="1:85" ht="15" customHeight="1" x14ac:dyDescent="0.25">
      <c r="A229" s="53"/>
      <c r="B229" s="53"/>
      <c r="C229" s="69"/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53"/>
      <c r="Y229" s="53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53"/>
      <c r="AV229" s="53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69"/>
      <c r="BH229" s="69"/>
      <c r="BI229" s="69"/>
      <c r="BJ229" s="69"/>
      <c r="BK229" s="69"/>
      <c r="BL229" s="69"/>
      <c r="BM229" s="69"/>
      <c r="BN229" s="69"/>
      <c r="BO229" s="69"/>
      <c r="BP229" s="69"/>
      <c r="BQ229" s="69"/>
      <c r="BR229" s="53"/>
      <c r="BS229" s="53"/>
    </row>
    <row r="230" spans="1:85" ht="15" customHeight="1" x14ac:dyDescent="0.25">
      <c r="A230" s="53"/>
      <c r="B230" s="53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53"/>
      <c r="Y230" s="53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53"/>
      <c r="AV230" s="53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69"/>
      <c r="BH230" s="69"/>
      <c r="BI230" s="69"/>
      <c r="BJ230" s="69"/>
      <c r="BK230" s="69"/>
      <c r="BL230" s="69"/>
      <c r="BM230" s="69"/>
      <c r="BN230" s="69"/>
      <c r="BO230" s="69"/>
      <c r="BP230" s="69"/>
      <c r="BQ230" s="69"/>
      <c r="BR230" s="53"/>
      <c r="BS230" s="53"/>
    </row>
    <row r="231" spans="1:85" ht="15" customHeight="1" x14ac:dyDescent="0.25">
      <c r="A231" s="53"/>
      <c r="B231" s="53"/>
      <c r="C231" s="69"/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53"/>
      <c r="Y231" s="53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53"/>
      <c r="AV231" s="53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69"/>
      <c r="BH231" s="69"/>
      <c r="BI231" s="69"/>
      <c r="BJ231" s="69"/>
      <c r="BK231" s="69"/>
      <c r="BL231" s="69"/>
      <c r="BM231" s="69"/>
      <c r="BN231" s="69"/>
      <c r="BO231" s="69"/>
      <c r="BP231" s="69"/>
      <c r="BQ231" s="69"/>
      <c r="BR231" s="53"/>
      <c r="BS231" s="53"/>
    </row>
    <row r="232" spans="1:85" ht="15" customHeight="1" x14ac:dyDescent="0.25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  <c r="BK232" s="53"/>
      <c r="BL232" s="53"/>
      <c r="BM232" s="53"/>
      <c r="BN232" s="53"/>
      <c r="BO232" s="53"/>
      <c r="BP232" s="53"/>
      <c r="BQ232" s="53"/>
      <c r="BR232" s="53"/>
      <c r="BS232" s="53"/>
      <c r="CG232" t="s">
        <v>42</v>
      </c>
    </row>
  </sheetData>
  <mergeCells count="222">
    <mergeCell ref="BU211:BX211"/>
    <mergeCell ref="BY211:CB211"/>
    <mergeCell ref="CC211:CF211"/>
    <mergeCell ref="CJ1:CK1"/>
    <mergeCell ref="CL1:CM1"/>
    <mergeCell ref="CN1:CO1"/>
    <mergeCell ref="BU106:BX106"/>
    <mergeCell ref="BY106:CB106"/>
    <mergeCell ref="CC106:CF106"/>
    <mergeCell ref="BU127:BX127"/>
    <mergeCell ref="BY127:CB127"/>
    <mergeCell ref="CC127:CF127"/>
    <mergeCell ref="BU148:BX148"/>
    <mergeCell ref="BY148:CB148"/>
    <mergeCell ref="CC148:CF148"/>
    <mergeCell ref="BU43:BX43"/>
    <mergeCell ref="BY43:CB43"/>
    <mergeCell ref="CC43:CF43"/>
    <mergeCell ref="BU64:BX64"/>
    <mergeCell ref="BY64:CB64"/>
    <mergeCell ref="CC64:CF64"/>
    <mergeCell ref="BU85:BX85"/>
    <mergeCell ref="BY85:CB85"/>
    <mergeCell ref="CC85:CF85"/>
    <mergeCell ref="BU190:BX190"/>
    <mergeCell ref="BY190:CB190"/>
    <mergeCell ref="BU1:BX1"/>
    <mergeCell ref="BY1:CB1"/>
    <mergeCell ref="CC1:CF1"/>
    <mergeCell ref="BU22:BX22"/>
    <mergeCell ref="BY22:CB22"/>
    <mergeCell ref="CC22:CF22"/>
    <mergeCell ref="BU169:BX169"/>
    <mergeCell ref="BY169:CB169"/>
    <mergeCell ref="CC169:CF169"/>
    <mergeCell ref="CC190:CF190"/>
    <mergeCell ref="BI7:BK8"/>
    <mergeCell ref="BL7:BN8"/>
    <mergeCell ref="AZ9:BB21"/>
    <mergeCell ref="BC9:BE21"/>
    <mergeCell ref="BF9:BH21"/>
    <mergeCell ref="BI9:BK21"/>
    <mergeCell ref="C5:W5"/>
    <mergeCell ref="C6:W6"/>
    <mergeCell ref="C7:W8"/>
    <mergeCell ref="C21:W21"/>
    <mergeCell ref="Z5:AT5"/>
    <mergeCell ref="Z6:AT6"/>
    <mergeCell ref="Z7:AT8"/>
    <mergeCell ref="H9:R16"/>
    <mergeCell ref="AE9:AO16"/>
    <mergeCell ref="Z17:AT18"/>
    <mergeCell ref="Z19:AT20"/>
    <mergeCell ref="Z21:AT21"/>
    <mergeCell ref="C17:W18"/>
    <mergeCell ref="AZ49:BB50"/>
    <mergeCell ref="BC49:BE50"/>
    <mergeCell ref="BF49:BH50"/>
    <mergeCell ref="BI49:BK50"/>
    <mergeCell ref="BL49:BN50"/>
    <mergeCell ref="AZ51:BB63"/>
    <mergeCell ref="BC51:BE63"/>
    <mergeCell ref="BF51:BH63"/>
    <mergeCell ref="BI51:BK63"/>
    <mergeCell ref="BL51:BN63"/>
    <mergeCell ref="C19:W20"/>
    <mergeCell ref="C63:W63"/>
    <mergeCell ref="Z26:AT26"/>
    <mergeCell ref="Z27:AT27"/>
    <mergeCell ref="Z28:AT29"/>
    <mergeCell ref="AE30:AO37"/>
    <mergeCell ref="C26:W26"/>
    <mergeCell ref="C27:W27"/>
    <mergeCell ref="C28:W29"/>
    <mergeCell ref="H30:R37"/>
    <mergeCell ref="Z59:AT60"/>
    <mergeCell ref="Z61:AT62"/>
    <mergeCell ref="Z63:AT63"/>
    <mergeCell ref="C38:W39"/>
    <mergeCell ref="C40:W41"/>
    <mergeCell ref="C42:W42"/>
    <mergeCell ref="Z38:AT39"/>
    <mergeCell ref="Z40:AT41"/>
    <mergeCell ref="C80:W81"/>
    <mergeCell ref="C82:W83"/>
    <mergeCell ref="Z80:AT81"/>
    <mergeCell ref="Z82:AT83"/>
    <mergeCell ref="C47:W47"/>
    <mergeCell ref="C48:W48"/>
    <mergeCell ref="C49:W50"/>
    <mergeCell ref="H51:R58"/>
    <mergeCell ref="C59:W60"/>
    <mergeCell ref="C61:W62"/>
    <mergeCell ref="BC70:BE71"/>
    <mergeCell ref="BF70:BH71"/>
    <mergeCell ref="BI70:BK71"/>
    <mergeCell ref="BL70:BN71"/>
    <mergeCell ref="AZ72:BB84"/>
    <mergeCell ref="BC72:BE84"/>
    <mergeCell ref="BF72:BH84"/>
    <mergeCell ref="BI72:BK84"/>
    <mergeCell ref="BL72:BN84"/>
    <mergeCell ref="AZ70:BB71"/>
    <mergeCell ref="C196:W197"/>
    <mergeCell ref="H198:R205"/>
    <mergeCell ref="Z170:AT189"/>
    <mergeCell ref="AW128:BQ147"/>
    <mergeCell ref="AW149:BQ168"/>
    <mergeCell ref="AW170:BQ189"/>
    <mergeCell ref="C194:W194"/>
    <mergeCell ref="C195:W195"/>
    <mergeCell ref="C147:W147"/>
    <mergeCell ref="C166:W167"/>
    <mergeCell ref="C168:W168"/>
    <mergeCell ref="C175:W176"/>
    <mergeCell ref="C173:W173"/>
    <mergeCell ref="C174:W174"/>
    <mergeCell ref="H177:R184"/>
    <mergeCell ref="C185:W186"/>
    <mergeCell ref="C187:W188"/>
    <mergeCell ref="C152:W152"/>
    <mergeCell ref="C153:W153"/>
    <mergeCell ref="H135:R142"/>
    <mergeCell ref="H156:R163"/>
    <mergeCell ref="Z128:AT147"/>
    <mergeCell ref="Z149:AT168"/>
    <mergeCell ref="C131:W131"/>
    <mergeCell ref="AW103:BQ103"/>
    <mergeCell ref="Z84:AT84"/>
    <mergeCell ref="C124:W125"/>
    <mergeCell ref="C84:W84"/>
    <mergeCell ref="C101:W102"/>
    <mergeCell ref="C103:W104"/>
    <mergeCell ref="C105:W105"/>
    <mergeCell ref="AW91:BQ92"/>
    <mergeCell ref="AW104:BQ104"/>
    <mergeCell ref="Z86:AT105"/>
    <mergeCell ref="BF119:BO120"/>
    <mergeCell ref="AW110:BQ111"/>
    <mergeCell ref="Z107:AT126"/>
    <mergeCell ref="C89:W89"/>
    <mergeCell ref="C90:W90"/>
    <mergeCell ref="C91:W92"/>
    <mergeCell ref="H93:R100"/>
    <mergeCell ref="C110:W111"/>
    <mergeCell ref="H114:R121"/>
    <mergeCell ref="BF115:BO116"/>
    <mergeCell ref="BF121:BO122"/>
    <mergeCell ref="BF117:BO118"/>
    <mergeCell ref="BF113:BO114"/>
    <mergeCell ref="BF123:BO124"/>
    <mergeCell ref="Z42:AT42"/>
    <mergeCell ref="H72:R79"/>
    <mergeCell ref="Z68:AT68"/>
    <mergeCell ref="Z69:AT69"/>
    <mergeCell ref="Z70:AT71"/>
    <mergeCell ref="AE72:AO79"/>
    <mergeCell ref="Z47:AT47"/>
    <mergeCell ref="Z48:AT48"/>
    <mergeCell ref="Z49:AT50"/>
    <mergeCell ref="AE51:AO58"/>
    <mergeCell ref="C69:W69"/>
    <mergeCell ref="C70:W71"/>
    <mergeCell ref="C68:W68"/>
    <mergeCell ref="C143:W144"/>
    <mergeCell ref="C145:W146"/>
    <mergeCell ref="AY113:BE114"/>
    <mergeCell ref="AY115:BE116"/>
    <mergeCell ref="AY121:BE122"/>
    <mergeCell ref="AY117:BE118"/>
    <mergeCell ref="AY119:BE120"/>
    <mergeCell ref="AY123:BE124"/>
    <mergeCell ref="C122:W123"/>
    <mergeCell ref="C132:W132"/>
    <mergeCell ref="BL44:BN48"/>
    <mergeCell ref="AZ23:BB27"/>
    <mergeCell ref="BC23:BE27"/>
    <mergeCell ref="BF23:BH27"/>
    <mergeCell ref="BI23:BK27"/>
    <mergeCell ref="BL2:BN6"/>
    <mergeCell ref="AZ2:BB6"/>
    <mergeCell ref="BC2:BE6"/>
    <mergeCell ref="BF2:BH6"/>
    <mergeCell ref="BI2:BK6"/>
    <mergeCell ref="BL28:BN29"/>
    <mergeCell ref="AZ30:BB42"/>
    <mergeCell ref="BC30:BE42"/>
    <mergeCell ref="BF30:BH42"/>
    <mergeCell ref="BI30:BK42"/>
    <mergeCell ref="BL30:BN42"/>
    <mergeCell ref="BL9:BN21"/>
    <mergeCell ref="AZ28:BB29"/>
    <mergeCell ref="BC28:BE29"/>
    <mergeCell ref="BF28:BH29"/>
    <mergeCell ref="BI28:BK29"/>
    <mergeCell ref="AZ7:BB8"/>
    <mergeCell ref="BC7:BE8"/>
    <mergeCell ref="BF7:BH8"/>
    <mergeCell ref="BL23:BN27"/>
    <mergeCell ref="AZ44:BB48"/>
    <mergeCell ref="BC44:BE48"/>
    <mergeCell ref="BF44:BH48"/>
    <mergeCell ref="BI44:BK48"/>
    <mergeCell ref="C212:W231"/>
    <mergeCell ref="Z212:AT231"/>
    <mergeCell ref="AW212:BQ231"/>
    <mergeCell ref="C189:W189"/>
    <mergeCell ref="C126:W126"/>
    <mergeCell ref="AW126:BQ126"/>
    <mergeCell ref="C206:W207"/>
    <mergeCell ref="C208:W209"/>
    <mergeCell ref="C210:W210"/>
    <mergeCell ref="Z191:AT210"/>
    <mergeCell ref="AW191:BQ210"/>
    <mergeCell ref="AZ65:BB69"/>
    <mergeCell ref="BC65:BE69"/>
    <mergeCell ref="BF65:BH69"/>
    <mergeCell ref="BI65:BK69"/>
    <mergeCell ref="BL65:BN69"/>
    <mergeCell ref="C164:W165"/>
    <mergeCell ref="C133:W134"/>
    <mergeCell ref="C154:W155"/>
  </mergeCells>
  <printOptions horizontalCentered="1" verticalCentered="1"/>
  <pageMargins left="0" right="0" top="3.937007874015748E-2" bottom="0" header="0" footer="0"/>
  <pageSetup paperSize="261" scale="10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ba"/>
  <dimension ref="A1:B8"/>
  <sheetViews>
    <sheetView workbookViewId="0">
      <selection activeCell="H4" sqref="H4"/>
    </sheetView>
  </sheetViews>
  <sheetFormatPr defaultRowHeight="15" x14ac:dyDescent="0.25"/>
  <cols>
    <col min="1" max="1" width="12.42578125" bestFit="1" customWidth="1"/>
  </cols>
  <sheetData>
    <row r="1" spans="1:2" x14ac:dyDescent="0.25">
      <c r="A1" t="s">
        <v>41</v>
      </c>
    </row>
    <row r="6" spans="1:2" x14ac:dyDescent="0.25">
      <c r="A6" s="58"/>
      <c r="B6" s="58"/>
    </row>
    <row r="7" spans="1:2" x14ac:dyDescent="0.25">
      <c r="A7" s="58"/>
      <c r="B7" s="58"/>
    </row>
    <row r="8" spans="1:2" x14ac:dyDescent="0.25">
      <c r="A8" s="58"/>
      <c r="B8" s="58"/>
    </row>
  </sheetData>
  <pageMargins left="0.7" right="0.7" top="0.75" bottom="0.75" header="0.3" footer="0.3"/>
  <pageSetup paperSize="26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launch">
                <anchor moveWithCells="1" sizeWithCells="1">
                  <from>
                    <xdr:col>2</xdr:col>
                    <xdr:colOff>180975</xdr:colOff>
                    <xdr:row>4</xdr:row>
                    <xdr:rowOff>85725</xdr:rowOff>
                  </from>
                  <to>
                    <xdr:col>15</xdr:col>
                    <xdr:colOff>476250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mployee_search"/>
  <dimension ref="A1:A22"/>
  <sheetViews>
    <sheetView workbookViewId="0">
      <selection activeCell="A35" sqref="A35"/>
    </sheetView>
  </sheetViews>
  <sheetFormatPr defaultRowHeight="15" x14ac:dyDescent="0.25"/>
  <cols>
    <col min="1" max="1" width="16.28515625" customWidth="1"/>
  </cols>
  <sheetData>
    <row r="1" spans="1:1" x14ac:dyDescent="0.25">
      <c r="A1" t="s">
        <v>43</v>
      </c>
    </row>
    <row r="5" spans="1:1" x14ac:dyDescent="0.25">
      <c r="A5" t="s">
        <v>44</v>
      </c>
    </row>
    <row r="7" spans="1:1" x14ac:dyDescent="0.25">
      <c r="A7" t="s">
        <v>64</v>
      </c>
    </row>
    <row r="9" spans="1:1" x14ac:dyDescent="0.25">
      <c r="A9" t="s">
        <v>45</v>
      </c>
    </row>
    <row r="10" spans="1:1" x14ac:dyDescent="0.25">
      <c r="A10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46</v>
      </c>
    </row>
    <row r="17" spans="1:1" x14ac:dyDescent="0.25">
      <c r="A17" t="s">
        <v>57</v>
      </c>
    </row>
    <row r="18" spans="1:1" x14ac:dyDescent="0.25">
      <c r="A18" t="s">
        <v>58</v>
      </c>
    </row>
    <row r="19" spans="1:1" x14ac:dyDescent="0.25">
      <c r="A19" t="s">
        <v>59</v>
      </c>
    </row>
    <row r="20" spans="1:1" x14ac:dyDescent="0.25">
      <c r="A20" t="s">
        <v>60</v>
      </c>
    </row>
    <row r="21" spans="1:1" x14ac:dyDescent="0.25">
      <c r="A21" t="s">
        <v>47</v>
      </c>
    </row>
    <row r="22" spans="1:1" x14ac:dyDescent="0.25">
      <c r="A22" t="s">
        <v>61</v>
      </c>
    </row>
  </sheetData>
  <pageMargins left="0.7" right="0.7" top="0.75" bottom="0.75" header="0.3" footer="0.3"/>
  <pageSetup paperSize="261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mployee_search_sort"/>
  <dimension ref="A1:J20"/>
  <sheetViews>
    <sheetView workbookViewId="0">
      <selection activeCell="N21" sqref="N21"/>
    </sheetView>
  </sheetViews>
  <sheetFormatPr defaultRowHeight="15" x14ac:dyDescent="0.25"/>
  <cols>
    <col min="1" max="1" width="37.7109375" bestFit="1" customWidth="1"/>
    <col min="2" max="2" width="10.140625" bestFit="1" customWidth="1"/>
    <col min="3" max="3" width="10.5703125" bestFit="1" customWidth="1"/>
    <col min="4" max="4" width="19.42578125" customWidth="1"/>
    <col min="5" max="5" width="12.28515625" bestFit="1" customWidth="1"/>
    <col min="6" max="6" width="21.5703125" bestFit="1" customWidth="1"/>
    <col min="7" max="7" width="9.140625" style="62"/>
    <col min="8" max="8" width="11.5703125" bestFit="1" customWidth="1"/>
  </cols>
  <sheetData>
    <row r="1" spans="1:10" x14ac:dyDescent="0.25">
      <c r="A1" s="57" t="s">
        <v>52</v>
      </c>
      <c r="B1" s="57" t="s">
        <v>48</v>
      </c>
      <c r="C1" s="57" t="s">
        <v>49</v>
      </c>
      <c r="D1" s="57" t="s">
        <v>51</v>
      </c>
      <c r="E1" s="57" t="s">
        <v>50</v>
      </c>
      <c r="F1" s="57" t="s">
        <v>63</v>
      </c>
      <c r="G1" s="63" t="str">
        <f>IFERROR(LEFT(employee_search!$A$7,FIND(" ",employee_search!$A$7,1)-1),0)</f>
        <v>1</v>
      </c>
      <c r="H1" s="57" t="s">
        <v>67</v>
      </c>
      <c r="I1" s="202" t="s">
        <v>66</v>
      </c>
      <c r="J1" s="202"/>
    </row>
    <row r="2" spans="1:10" x14ac:dyDescent="0.25">
      <c r="A2" t="str">
        <f>IF(H2=TRUE,CONCATENATE(C2,", ",B2," (",D2,") ",E2),"")</f>
        <v>Haroldas, Seskauskas (seskah) LTN2 (517)</v>
      </c>
      <c r="B2" t="str">
        <f>IFERROR(LEFT(INDEX(employee_search!A:A,G:G),FIND(",",INDEX(employee_search!A:A,G:G))-1),"")</f>
        <v>Seskauskas</v>
      </c>
      <c r="C2" t="str">
        <f>IFERROR(RIGHT(INDEX(employee_search!A:A,G:G),LEN(INDEX(employee_search!A:A,G:G))-FIND(",",INDEX(employee_search!A:A,G:G))),"")</f>
        <v>Haroldas</v>
      </c>
      <c r="D2" t="str">
        <f>IFERROR(RIGHT(INDEX(employee_search!A:A,G:G+2),LEN(INDEX(employee_search!A:A,G:G+2))-5),"")</f>
        <v>seskah</v>
      </c>
      <c r="E2" t="str">
        <f>IFERROR(RIGHT(INDEX(employee_search!A:A,G:G+7),LEN(INDEX(employee_search!A:A,G:G+7))-8),"")</f>
        <v>LTN2 (517)</v>
      </c>
      <c r="F2" t="str">
        <f>IFERROR(RIGHT(INDEX(employee_search!A:A,G:G+3),LEN(INDEX(employee_search!A:A,G:G+3))-11),"")</f>
        <v>101593157</v>
      </c>
      <c r="G2" s="62">
        <v>10</v>
      </c>
      <c r="H2" t="b">
        <f>IF(D:D&lt;&gt;"",TRUE,FALSE)</f>
        <v>1</v>
      </c>
    </row>
    <row r="3" spans="1:10" x14ac:dyDescent="0.25">
      <c r="A3" t="str">
        <f t="shared" ref="A3:A18" si="0">IF(H3=TRUE,CONCATENATE(C3,", ",B3," (",D3,") ",E3),"")</f>
        <v/>
      </c>
      <c r="B3" t="str">
        <f>IFERROR(LEFT(INDEX(employee_search!A:A,G:G),FIND(",",INDEX(employee_search!A:A,G:G))-1),"")</f>
        <v/>
      </c>
      <c r="C3" t="str">
        <f>IFERROR(RIGHT(INDEX(employee_search!A:A,G:G),LEN(INDEX(employee_search!A:A,G:G))-FIND(",",INDEX(employee_search!A:A,G:G))),"")</f>
        <v/>
      </c>
      <c r="D3" t="str">
        <f>IFERROR(RIGHT(INDEX(employee_search!A:A,G:G+2),LEN(INDEX(employee_search!A:A,G:G+2))-5),"")</f>
        <v/>
      </c>
      <c r="E3" t="str">
        <f>IFERROR(RIGHT(INDEX(employee_search!A:A,G:G+7),LEN(INDEX(employee_search!A:A,G:G+7))-8),"")</f>
        <v/>
      </c>
      <c r="F3" t="str">
        <f>IFERROR(RIGHT(INDEX(employee_search!A:A,G:G+3),LEN(INDEX(employee_search!A:A,G:G+3))-11),"")</f>
        <v/>
      </c>
      <c r="G3" s="62">
        <v>24</v>
      </c>
      <c r="H3" t="b">
        <f t="shared" ref="H3:H18" si="1">IF(D:D&lt;&gt;"",TRUE,FALSE)</f>
        <v>0</v>
      </c>
    </row>
    <row r="4" spans="1:10" x14ac:dyDescent="0.25">
      <c r="A4" t="str">
        <f t="shared" si="0"/>
        <v/>
      </c>
      <c r="B4" t="str">
        <f>IFERROR(LEFT(INDEX(employee_search!A:A,G:G),FIND(",",INDEX(employee_search!A:A,G:G))-1),"")</f>
        <v/>
      </c>
      <c r="C4" t="str">
        <f>IFERROR(RIGHT(INDEX(employee_search!A:A,G:G),LEN(INDEX(employee_search!A:A,G:G))-FIND(",",INDEX(employee_search!A:A,G:G))),"")</f>
        <v/>
      </c>
      <c r="D4" t="str">
        <f>IFERROR(RIGHT(INDEX(employee_search!A:A,G:G+2),LEN(INDEX(employee_search!A:A,G:G+2))-5),"")</f>
        <v/>
      </c>
      <c r="E4" t="str">
        <f>IFERROR(RIGHT(INDEX(employee_search!A:A,G:G+7),LEN(INDEX(employee_search!A:A,G:G+7))-8),"")</f>
        <v/>
      </c>
      <c r="F4" t="str">
        <f>IFERROR(RIGHT(INDEX(employee_search!A:A,G:G+3),LEN(INDEX(employee_search!A:A,G:G+3))-11),"")</f>
        <v/>
      </c>
      <c r="G4" s="62">
        <v>38</v>
      </c>
      <c r="H4" t="b">
        <f t="shared" si="1"/>
        <v>0</v>
      </c>
    </row>
    <row r="5" spans="1:10" x14ac:dyDescent="0.25">
      <c r="A5" t="str">
        <f t="shared" si="0"/>
        <v/>
      </c>
      <c r="B5" t="str">
        <f>IFERROR(LEFT(INDEX(employee_search!A:A,G:G),FIND(",",INDEX(employee_search!A:A,G:G))-1),"")</f>
        <v/>
      </c>
      <c r="C5" t="str">
        <f>IFERROR(RIGHT(INDEX(employee_search!A:A,G:G),LEN(INDEX(employee_search!A:A,G:G))-FIND(",",INDEX(employee_search!A:A,G:G))),"")</f>
        <v/>
      </c>
      <c r="D5" t="str">
        <f>IFERROR(RIGHT(INDEX(employee_search!A:A,G:G+2),LEN(INDEX(employee_search!A:A,G:G+2))-5),"")</f>
        <v/>
      </c>
      <c r="E5" t="str">
        <f>IFERROR(RIGHT(INDEX(employee_search!A:A,G:G+7),LEN(INDEX(employee_search!A:A,G:G+7))-8),"")</f>
        <v/>
      </c>
      <c r="F5" t="str">
        <f>IFERROR(RIGHT(INDEX(employee_search!A:A,G:G+3),LEN(INDEX(employee_search!A:A,G:G+3))-11),"")</f>
        <v/>
      </c>
      <c r="G5" s="62">
        <v>52</v>
      </c>
      <c r="H5" t="b">
        <f t="shared" si="1"/>
        <v>0</v>
      </c>
    </row>
    <row r="6" spans="1:10" x14ac:dyDescent="0.25">
      <c r="A6" t="str">
        <f t="shared" si="0"/>
        <v/>
      </c>
      <c r="B6" t="str">
        <f>IFERROR(LEFT(INDEX(employee_search!A:A,G:G),FIND(",",INDEX(employee_search!A:A,G:G))-1),"")</f>
        <v/>
      </c>
      <c r="C6" t="str">
        <f>IFERROR(RIGHT(INDEX(employee_search!A:A,G:G),LEN(INDEX(employee_search!A:A,G:G))-FIND(",",INDEX(employee_search!A:A,G:G))),"")</f>
        <v/>
      </c>
      <c r="D6" t="str">
        <f>IFERROR(RIGHT(INDEX(employee_search!A:A,G:G+2),LEN(INDEX(employee_search!A:A,G:G+2))-5),"")</f>
        <v/>
      </c>
      <c r="E6" t="str">
        <f>IFERROR(RIGHT(INDEX(employee_search!A:A,G:G+7),LEN(INDEX(employee_search!A:A,G:G+7))-8),"")</f>
        <v/>
      </c>
      <c r="F6" t="str">
        <f>IFERROR(RIGHT(INDEX(employee_search!A:A,G:G+3),LEN(INDEX(employee_search!A:A,G:G+3))-11),"")</f>
        <v/>
      </c>
      <c r="G6" s="62">
        <v>66</v>
      </c>
      <c r="H6" t="b">
        <f t="shared" si="1"/>
        <v>0</v>
      </c>
    </row>
    <row r="7" spans="1:10" x14ac:dyDescent="0.25">
      <c r="A7" t="str">
        <f t="shared" si="0"/>
        <v/>
      </c>
      <c r="B7" t="str">
        <f>IFERROR(LEFT(INDEX(employee_search!A:A,G:G),FIND(",",INDEX(employee_search!A:A,G:G))-1),"")</f>
        <v/>
      </c>
      <c r="C7" t="str">
        <f>IFERROR(RIGHT(INDEX(employee_search!A:A,G:G),LEN(INDEX(employee_search!A:A,G:G))-FIND(",",INDEX(employee_search!A:A,G:G))),"")</f>
        <v/>
      </c>
      <c r="D7" t="str">
        <f>IFERROR(RIGHT(INDEX(employee_search!A:A,G:G+2),LEN(INDEX(employee_search!A:A,G:G+2))-5),"")</f>
        <v/>
      </c>
      <c r="E7" t="str">
        <f>IFERROR(RIGHT(INDEX(employee_search!A:A,G:G+7),LEN(INDEX(employee_search!A:A,G:G+7))-8),"")</f>
        <v/>
      </c>
      <c r="F7" t="str">
        <f>IFERROR(RIGHT(INDEX(employee_search!A:A,G:G+3),LEN(INDEX(employee_search!A:A,G:G+3))-11),"")</f>
        <v/>
      </c>
      <c r="G7" s="62">
        <v>80</v>
      </c>
      <c r="H7" t="b">
        <f t="shared" si="1"/>
        <v>0</v>
      </c>
    </row>
    <row r="8" spans="1:10" x14ac:dyDescent="0.25">
      <c r="A8" t="str">
        <f t="shared" si="0"/>
        <v/>
      </c>
      <c r="B8" t="str">
        <f>IFERROR(LEFT(INDEX(employee_search!A:A,G:G),FIND(",",INDEX(employee_search!A:A,G:G))-1),"")</f>
        <v/>
      </c>
      <c r="C8" t="str">
        <f>IFERROR(RIGHT(INDEX(employee_search!A:A,G:G),LEN(INDEX(employee_search!A:A,G:G))-FIND(",",INDEX(employee_search!A:A,G:G))),"")</f>
        <v/>
      </c>
      <c r="D8" t="str">
        <f>IFERROR(RIGHT(INDEX(employee_search!A:A,G:G+2),LEN(INDEX(employee_search!A:A,G:G+2))-5),"")</f>
        <v/>
      </c>
      <c r="E8" t="str">
        <f>IFERROR(RIGHT(INDEX(employee_search!A:A,G:G+7),LEN(INDEX(employee_search!A:A,G:G+7))-8),"")</f>
        <v/>
      </c>
      <c r="F8" t="str">
        <f>IFERROR(RIGHT(INDEX(employee_search!A:A,G:G+3),LEN(INDEX(employee_search!A:A,G:G+3))-11),"")</f>
        <v/>
      </c>
      <c r="G8" s="62">
        <v>94</v>
      </c>
      <c r="H8" t="b">
        <f t="shared" si="1"/>
        <v>0</v>
      </c>
    </row>
    <row r="9" spans="1:10" x14ac:dyDescent="0.25">
      <c r="A9" t="str">
        <f t="shared" si="0"/>
        <v/>
      </c>
      <c r="B9" t="str">
        <f>IFERROR(LEFT(INDEX(employee_search!A:A,G:G),FIND(",",INDEX(employee_search!A:A,G:G))-1),"")</f>
        <v/>
      </c>
      <c r="C9" t="str">
        <f>IFERROR(RIGHT(INDEX(employee_search!A:A,G:G),LEN(INDEX(employee_search!A:A,G:G))-FIND(",",INDEX(employee_search!A:A,G:G))),"")</f>
        <v/>
      </c>
      <c r="D9" t="str">
        <f>IFERROR(RIGHT(INDEX(employee_search!A:A,G:G+2),LEN(INDEX(employee_search!A:A,G:G+2))-5),"")</f>
        <v/>
      </c>
      <c r="E9" t="str">
        <f>IFERROR(RIGHT(INDEX(employee_search!A:A,G:G+7),LEN(INDEX(employee_search!A:A,G:G+7))-8),"")</f>
        <v/>
      </c>
      <c r="F9" t="str">
        <f>IFERROR(RIGHT(INDEX(employee_search!A:A,G:G+3),LEN(INDEX(employee_search!A:A,G:G+3))-11),"")</f>
        <v/>
      </c>
      <c r="G9" s="62">
        <v>108</v>
      </c>
      <c r="H9" t="b">
        <f t="shared" si="1"/>
        <v>0</v>
      </c>
    </row>
    <row r="10" spans="1:10" x14ac:dyDescent="0.25">
      <c r="A10" t="str">
        <f t="shared" si="0"/>
        <v/>
      </c>
      <c r="B10" t="str">
        <f>IFERROR(LEFT(INDEX(employee_search!A:A,G:G),FIND(",",INDEX(employee_search!A:A,G:G))-1),"")</f>
        <v/>
      </c>
      <c r="C10" t="str">
        <f>IFERROR(RIGHT(INDEX(employee_search!A:A,G:G),LEN(INDEX(employee_search!A:A,G:G))-FIND(",",INDEX(employee_search!A:A,G:G))),"")</f>
        <v/>
      </c>
      <c r="D10" t="str">
        <f>IFERROR(RIGHT(INDEX(employee_search!A:A,G:G+2),LEN(INDEX(employee_search!A:A,G:G+2))-5),"")</f>
        <v/>
      </c>
      <c r="E10" t="str">
        <f>IFERROR(RIGHT(INDEX(employee_search!A:A,G:G+7),LEN(INDEX(employee_search!A:A,G:G+7))-8),"")</f>
        <v/>
      </c>
      <c r="F10" t="str">
        <f>IFERROR(RIGHT(INDEX(employee_search!A:A,G:G+3),LEN(INDEX(employee_search!A:A,G:G+3))-11),"")</f>
        <v/>
      </c>
      <c r="G10" s="62">
        <v>122</v>
      </c>
      <c r="H10" t="b">
        <f t="shared" si="1"/>
        <v>0</v>
      </c>
    </row>
    <row r="11" spans="1:10" x14ac:dyDescent="0.25">
      <c r="A11" t="str">
        <f t="shared" si="0"/>
        <v/>
      </c>
      <c r="B11" t="str">
        <f>IFERROR(LEFT(INDEX(employee_search!A:A,G:G),FIND(",",INDEX(employee_search!A:A,G:G))-1),"")</f>
        <v/>
      </c>
      <c r="C11" t="str">
        <f>IFERROR(RIGHT(INDEX(employee_search!A:A,G:G),LEN(INDEX(employee_search!A:A,G:G))-FIND(",",INDEX(employee_search!A:A,G:G))),"")</f>
        <v/>
      </c>
      <c r="D11" t="str">
        <f>IFERROR(RIGHT(INDEX(employee_search!A:A,G:G+2),LEN(INDEX(employee_search!A:A,G:G+2))-5),"")</f>
        <v/>
      </c>
      <c r="E11" t="str">
        <f>IFERROR(RIGHT(INDEX(employee_search!A:A,G:G+7),LEN(INDEX(employee_search!A:A,G:G+7))-8),"")</f>
        <v/>
      </c>
      <c r="F11" t="str">
        <f>IFERROR(RIGHT(INDEX(employee_search!A:A,G:G+3),LEN(INDEX(employee_search!A:A,G:G+3))-11),"")</f>
        <v/>
      </c>
      <c r="G11" s="62">
        <v>136</v>
      </c>
      <c r="H11" t="b">
        <f t="shared" si="1"/>
        <v>0</v>
      </c>
    </row>
    <row r="12" spans="1:10" x14ac:dyDescent="0.25">
      <c r="A12" t="str">
        <f t="shared" si="0"/>
        <v/>
      </c>
      <c r="B12" t="str">
        <f>IFERROR(LEFT(INDEX(employee_search!A:A,G:G),FIND(",",INDEX(employee_search!A:A,G:G))-1),"")</f>
        <v/>
      </c>
      <c r="C12" t="str">
        <f>IFERROR(RIGHT(INDEX(employee_search!A:A,G:G),LEN(INDEX(employee_search!A:A,G:G))-FIND(",",INDEX(employee_search!A:A,G:G))),"")</f>
        <v/>
      </c>
      <c r="D12" t="str">
        <f>IFERROR(RIGHT(INDEX(employee_search!A:A,G:G+2),LEN(INDEX(employee_search!A:A,G:G+2))-5),"")</f>
        <v/>
      </c>
      <c r="E12" t="str">
        <f>IFERROR(RIGHT(INDEX(employee_search!A:A,G:G+7),LEN(INDEX(employee_search!A:A,G:G+7))-8),"")</f>
        <v/>
      </c>
      <c r="F12" t="str">
        <f>IFERROR(RIGHT(INDEX(employee_search!A:A,G:G+3),LEN(INDEX(employee_search!A:A,G:G+3))-11),"")</f>
        <v/>
      </c>
      <c r="G12" s="62">
        <v>150</v>
      </c>
      <c r="H12" t="b">
        <f t="shared" si="1"/>
        <v>0</v>
      </c>
    </row>
    <row r="13" spans="1:10" x14ac:dyDescent="0.25">
      <c r="A13" t="str">
        <f t="shared" si="0"/>
        <v/>
      </c>
      <c r="B13" t="str">
        <f>IFERROR(LEFT(INDEX(employee_search!A:A,G:G),FIND(",",INDEX(employee_search!A:A,G:G))-1),"")</f>
        <v/>
      </c>
      <c r="C13" t="str">
        <f>IFERROR(RIGHT(INDEX(employee_search!A:A,G:G),LEN(INDEX(employee_search!A:A,G:G))-FIND(",",INDEX(employee_search!A:A,G:G))),"")</f>
        <v/>
      </c>
      <c r="D13" t="str">
        <f>IFERROR(RIGHT(INDEX(employee_search!A:A,G:G+2),LEN(INDEX(employee_search!A:A,G:G+2))-5),"")</f>
        <v/>
      </c>
      <c r="E13" t="str">
        <f>IFERROR(RIGHT(INDEX(employee_search!A:A,G:G+7),LEN(INDEX(employee_search!A:A,G:G+7))-8),"")</f>
        <v/>
      </c>
      <c r="F13" t="str">
        <f>IFERROR(RIGHT(INDEX(employee_search!A:A,G:G+3),LEN(INDEX(employee_search!A:A,G:G+3))-11),"")</f>
        <v/>
      </c>
      <c r="G13" s="62">
        <v>164</v>
      </c>
      <c r="H13" t="b">
        <f t="shared" si="1"/>
        <v>0</v>
      </c>
    </row>
    <row r="14" spans="1:10" x14ac:dyDescent="0.25">
      <c r="A14" t="str">
        <f t="shared" si="0"/>
        <v/>
      </c>
      <c r="B14" t="str">
        <f>IFERROR(LEFT(INDEX(employee_search!A:A,G:G),FIND(",",INDEX(employee_search!A:A,G:G))-1),"")</f>
        <v/>
      </c>
      <c r="C14" t="str">
        <f>IFERROR(RIGHT(INDEX(employee_search!A:A,G:G),LEN(INDEX(employee_search!A:A,G:G))-FIND(",",INDEX(employee_search!A:A,G:G))),"")</f>
        <v/>
      </c>
      <c r="D14" t="str">
        <f>IFERROR(RIGHT(INDEX(employee_search!A:A,G:G+2),LEN(INDEX(employee_search!A:A,G:G+2))-5),"")</f>
        <v/>
      </c>
      <c r="E14" t="str">
        <f>IFERROR(RIGHT(INDEX(employee_search!A:A,G:G+7),LEN(INDEX(employee_search!A:A,G:G+7))-8),"")</f>
        <v/>
      </c>
      <c r="F14" t="str">
        <f>IFERROR(RIGHT(INDEX(employee_search!A:A,G:G+3),LEN(INDEX(employee_search!A:A,G:G+3))-11),"")</f>
        <v/>
      </c>
      <c r="G14" s="62">
        <v>178</v>
      </c>
      <c r="H14" t="b">
        <f t="shared" si="1"/>
        <v>0</v>
      </c>
    </row>
    <row r="15" spans="1:10" x14ac:dyDescent="0.25">
      <c r="A15" t="str">
        <f t="shared" si="0"/>
        <v/>
      </c>
      <c r="B15" t="str">
        <f>IFERROR(LEFT(INDEX(employee_search!A:A,G:G),FIND(",",INDEX(employee_search!A:A,G:G))-1),"")</f>
        <v/>
      </c>
      <c r="C15" t="str">
        <f>IFERROR(RIGHT(INDEX(employee_search!A:A,G:G),LEN(INDEX(employee_search!A:A,G:G))-FIND(",",INDEX(employee_search!A:A,G:G))),"")</f>
        <v/>
      </c>
      <c r="D15" t="str">
        <f>IFERROR(RIGHT(INDEX(employee_search!A:A,G:G+2),LEN(INDEX(employee_search!A:A,G:G+2))-5),"")</f>
        <v/>
      </c>
      <c r="E15" t="str">
        <f>IFERROR(RIGHT(INDEX(employee_search!A:A,G:G+7),LEN(INDEX(employee_search!A:A,G:G+7))-8),"")</f>
        <v/>
      </c>
      <c r="F15" t="str">
        <f>IFERROR(RIGHT(INDEX(employee_search!A:A,G:G+3),LEN(INDEX(employee_search!A:A,G:G+3))-11),"")</f>
        <v/>
      </c>
      <c r="G15" s="62">
        <v>192</v>
      </c>
      <c r="H15" t="b">
        <f t="shared" si="1"/>
        <v>0</v>
      </c>
    </row>
    <row r="16" spans="1:10" x14ac:dyDescent="0.25">
      <c r="A16" t="str">
        <f t="shared" si="0"/>
        <v/>
      </c>
      <c r="B16" t="str">
        <f>IFERROR(LEFT(INDEX(employee_search!A:A,G:G),FIND(",",INDEX(employee_search!A:A,G:G))-1),"")</f>
        <v/>
      </c>
      <c r="C16" t="str">
        <f>IFERROR(RIGHT(INDEX(employee_search!A:A,G:G),LEN(INDEX(employee_search!A:A,G:G))-FIND(",",INDEX(employee_search!A:A,G:G))),"")</f>
        <v/>
      </c>
      <c r="D16" t="str">
        <f>IFERROR(RIGHT(INDEX(employee_search!A:A,G:G+2),LEN(INDEX(employee_search!A:A,G:G+2))-5),"")</f>
        <v/>
      </c>
      <c r="E16" t="str">
        <f>IFERROR(RIGHT(INDEX(employee_search!A:A,G:G+7),LEN(INDEX(employee_search!A:A,G:G+7))-8),"")</f>
        <v/>
      </c>
      <c r="F16" t="str">
        <f>IFERROR(RIGHT(INDEX(employee_search!A:A,G:G+3),LEN(INDEX(employee_search!A:A,G:G+3))-11),"")</f>
        <v/>
      </c>
      <c r="G16" s="62">
        <v>206</v>
      </c>
      <c r="H16" t="b">
        <f t="shared" si="1"/>
        <v>0</v>
      </c>
    </row>
    <row r="17" spans="1:8" x14ac:dyDescent="0.25">
      <c r="A17" t="str">
        <f t="shared" si="0"/>
        <v/>
      </c>
      <c r="B17" t="str">
        <f>IFERROR(LEFT(INDEX(employee_search!A:A,G:G),FIND(",",INDEX(employee_search!A:A,G:G))-1),"")</f>
        <v/>
      </c>
      <c r="C17" t="str">
        <f>IFERROR(RIGHT(INDEX(employee_search!A:A,G:G),LEN(INDEX(employee_search!A:A,G:G))-FIND(",",INDEX(employee_search!A:A,G:G))),"")</f>
        <v/>
      </c>
      <c r="D17" t="str">
        <f>IFERROR(RIGHT(INDEX(employee_search!A:A,G:G+2),LEN(INDEX(employee_search!A:A,G:G+2))-5),"")</f>
        <v/>
      </c>
      <c r="E17" t="str">
        <f>IFERROR(RIGHT(INDEX(employee_search!A:A,G:G+7),LEN(INDEX(employee_search!A:A,G:G+7))-8),"")</f>
        <v/>
      </c>
      <c r="F17" t="str">
        <f>IFERROR(RIGHT(INDEX(employee_search!A:A,G:G+3),LEN(INDEX(employee_search!A:A,G:G+3))-11),"")</f>
        <v/>
      </c>
      <c r="G17" s="62">
        <v>220</v>
      </c>
      <c r="H17" t="b">
        <f t="shared" si="1"/>
        <v>0</v>
      </c>
    </row>
    <row r="18" spans="1:8" x14ac:dyDescent="0.25">
      <c r="A18" t="str">
        <f t="shared" si="0"/>
        <v/>
      </c>
      <c r="B18" t="str">
        <f>IFERROR(LEFT(INDEX(employee_search!A:A,G:G),FIND(",",INDEX(employee_search!A:A,G:G))-1),"")</f>
        <v/>
      </c>
      <c r="C18" t="str">
        <f>IFERROR(RIGHT(INDEX(employee_search!A:A,G:G),LEN(INDEX(employee_search!A:A,G:G))-FIND(",",INDEX(employee_search!A:A,G:G))),"")</f>
        <v/>
      </c>
      <c r="D18" t="str">
        <f>IFERROR(RIGHT(INDEX(employee_search!A:A,G:G+2),LEN(INDEX(employee_search!A:A,G:G+2))-5),"")</f>
        <v/>
      </c>
      <c r="E18" t="str">
        <f>IFERROR(RIGHT(INDEX(employee_search!A:A,G:G+7),LEN(INDEX(employee_search!A:A,G:G+7))-8),"")</f>
        <v/>
      </c>
      <c r="F18" t="str">
        <f>IFERROR(RIGHT(INDEX(employee_search!A:A,G:G+3),LEN(INDEX(employee_search!A:A,G:G+3))-11),"")</f>
        <v/>
      </c>
      <c r="G18" s="62">
        <v>234</v>
      </c>
      <c r="H18" t="b">
        <f t="shared" si="1"/>
        <v>0</v>
      </c>
    </row>
    <row r="19" spans="1:8" x14ac:dyDescent="0.25">
      <c r="A19" s="57" t="s">
        <v>62</v>
      </c>
      <c r="B19" s="57" t="s">
        <v>48</v>
      </c>
      <c r="C19" s="57" t="s">
        <v>49</v>
      </c>
      <c r="D19" s="57" t="s">
        <v>51</v>
      </c>
      <c r="E19" s="57" t="s">
        <v>50</v>
      </c>
      <c r="F19" s="57" t="s">
        <v>63</v>
      </c>
    </row>
    <row r="20" spans="1:8" x14ac:dyDescent="0.25">
      <c r="A20" t="s">
        <v>65</v>
      </c>
      <c r="B20" t="str">
        <f>IFERROR(MID(A20,FIND(",",A:A)+2,FIND(" (",A:A)-FIND(",",A:A)-2),"")</f>
        <v>Seskauskas</v>
      </c>
      <c r="C20" t="str">
        <f>IFERROR(LEFT(A:A,FIND(",",A:A)-1),"")</f>
        <v>Haroldas</v>
      </c>
      <c r="D20" t="str">
        <f>IFERROR(MID(A:A,FIND(" (",A:A)+2,FIND(") ",A:A)-FIND(" (",A:A)-2),"")</f>
        <v>seskah</v>
      </c>
      <c r="E20" t="str">
        <f>IFERROR(RIGHT(A20,LEN(A20)-FIND(") ",A:A)-1),"")</f>
        <v>LTN2 (517)</v>
      </c>
      <c r="F20" t="str">
        <f>IFERROR(VLOOKUP(A:A,A2:F18,6,0),"")</f>
        <v>101593157</v>
      </c>
    </row>
  </sheetData>
  <mergeCells count="1">
    <mergeCell ref="I1:J1"/>
  </mergeCells>
  <pageMargins left="0.7" right="0.7" top="0.75" bottom="0.75" header="0.3" footer="0.3"/>
  <pageSetup paperSize="261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24" sqref="D2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36</vt:i4>
      </vt:variant>
    </vt:vector>
  </HeadingPairs>
  <TitlesOfParts>
    <vt:vector size="41" baseType="lpstr">
      <vt:lpstr>badge_library</vt:lpstr>
      <vt:lpstr>badge_data</vt:lpstr>
      <vt:lpstr>employee_search</vt:lpstr>
      <vt:lpstr>employee_search_sort</vt:lpstr>
      <vt:lpstr>user_form_pics</vt:lpstr>
      <vt:lpstr>ACCESS_A_badge_back</vt:lpstr>
      <vt:lpstr>ACCESS_A_badge_front</vt:lpstr>
      <vt:lpstr>ACCESS_A_plus_badge_front</vt:lpstr>
      <vt:lpstr>badge_library</vt:lpstr>
      <vt:lpstr>employee_id</vt:lpstr>
      <vt:lpstr>employee_search!employee_search_1</vt:lpstr>
      <vt:lpstr>employee_search!employee_search_10</vt:lpstr>
      <vt:lpstr>employee_search!employee_search_11</vt:lpstr>
      <vt:lpstr>employee_search!employee_search_12</vt:lpstr>
      <vt:lpstr>employee_search!employee_search_13</vt:lpstr>
      <vt:lpstr>employee_search!employee_search_14</vt:lpstr>
      <vt:lpstr>employee_search!employee_search_15</vt:lpstr>
      <vt:lpstr>employee_search!employee_search_16</vt:lpstr>
      <vt:lpstr>employee_search!employee_search_17</vt:lpstr>
      <vt:lpstr>employee_search!employee_search_18</vt:lpstr>
      <vt:lpstr>employee_search!employee_search_19</vt:lpstr>
      <vt:lpstr>employee_search!employee_search_2</vt:lpstr>
      <vt:lpstr>employee_search!employee_search_20</vt:lpstr>
      <vt:lpstr>employee_search!employee_search_21</vt:lpstr>
      <vt:lpstr>employee_search!employee_search_22</vt:lpstr>
      <vt:lpstr>employee_search!employee_search_23</vt:lpstr>
      <vt:lpstr>employee_search!employee_search_24</vt:lpstr>
      <vt:lpstr>employee_search!employee_search_25</vt:lpstr>
      <vt:lpstr>employee_search!employee_search_26</vt:lpstr>
      <vt:lpstr>employee_search!employee_search_27</vt:lpstr>
      <vt:lpstr>employee_search!employee_search_28</vt:lpstr>
      <vt:lpstr>employee_search!employee_search_3</vt:lpstr>
      <vt:lpstr>employee_search!employee_search_30</vt:lpstr>
      <vt:lpstr>employee_search!employee_search_31</vt:lpstr>
      <vt:lpstr>employee_search!employee_search_4</vt:lpstr>
      <vt:lpstr>employee_search!employee_search_5</vt:lpstr>
      <vt:lpstr>employee_search!employee_search_6</vt:lpstr>
      <vt:lpstr>employee_search!employee_search_7</vt:lpstr>
      <vt:lpstr>employee_search!employee_search_8</vt:lpstr>
      <vt:lpstr>employee_search!employee_search_9</vt:lpstr>
      <vt:lpstr>search_count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Seskauskas, Haroldas</dc:creator>
  <cp:lastModifiedBy>Seskauskas, Haroldas</cp:lastModifiedBy>
  <cp:lastPrinted>2020-01-11T16:29:07Z</cp:lastPrinted>
  <dcterms:created xsi:type="dcterms:W3CDTF">2020-01-11T07:09:50Z</dcterms:created>
  <dcterms:modified xsi:type="dcterms:W3CDTF">2020-01-16T08:28:35Z</dcterms:modified>
</cp:coreProperties>
</file>